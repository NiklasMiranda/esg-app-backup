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Denne_projektmappe" defaultThemeVersion="202300"/>
  <mc:AlternateContent xmlns:mc="http://schemas.openxmlformats.org/markup-compatibility/2006">
    <mc:Choice Requires="x15">
      <x15ac:absPath xmlns:x15ac="http://schemas.microsoft.com/office/spreadsheetml/2010/11/ac" url="https://wopi.dropbox.com/wopi/files/oid_3665930206970426624/WOPIServiceId_TP_DROPBOX_PLUS/WOPIUserId_-/"/>
    </mc:Choice>
  </mc:AlternateContent>
  <xr:revisionPtr revIDLastSave="3502" documentId="13_ncr:1_{32C5490E-F707-406E-BF5E-420EBD8131AB}" xr6:coauthVersionLast="47" xr6:coauthVersionMax="47" xr10:uidLastSave="{72353C43-C79D-469F-B975-96A04AF12C73}"/>
  <bookViews>
    <workbookView xWindow="28680" yWindow="-120" windowWidth="29040" windowHeight="15720" activeTab="3" xr2:uid="{74A8DEFA-C2AA-4B7F-B6C1-27822160820D}"/>
  </bookViews>
  <sheets>
    <sheet name="Forside" sheetId="2" r:id="rId1"/>
    <sheet name="DVA_Spørgsmål" sheetId="5" r:id="rId2"/>
    <sheet name="DVA" sheetId="6" r:id="rId3"/>
    <sheet name="Matrix" sheetId="1" r:id="rId4"/>
    <sheet name="Branchekoder" sheetId="7" state="hidden" r:id="rId5"/>
  </sheets>
  <definedNames>
    <definedName name="f">#REF!</definedName>
    <definedName name="GruppeA_farve">#REF!</definedName>
    <definedName name="GruppeB_farv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16" i="1"/>
  <c r="I160" i="1"/>
  <c r="I159" i="1"/>
  <c r="I158" i="1"/>
  <c r="I157" i="1"/>
  <c r="I156" i="1"/>
  <c r="G156" i="1"/>
  <c r="G10" i="1"/>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654" i="7"/>
  <c r="A655" i="7"/>
  <c r="A656" i="7"/>
  <c r="A657" i="7"/>
  <c r="A658" i="7"/>
  <c r="A659" i="7"/>
  <c r="A660" i="7"/>
  <c r="A661" i="7"/>
  <c r="A662" i="7"/>
  <c r="A663" i="7"/>
  <c r="A664" i="7"/>
  <c r="A665" i="7"/>
  <c r="A666" i="7"/>
  <c r="A667" i="7"/>
  <c r="A668" i="7"/>
  <c r="A669" i="7"/>
  <c r="A670" i="7"/>
  <c r="A671" i="7"/>
  <c r="A672" i="7"/>
  <c r="A673" i="7"/>
  <c r="A674" i="7"/>
  <c r="A675" i="7"/>
  <c r="A676" i="7"/>
  <c r="A677" i="7"/>
  <c r="A678" i="7"/>
  <c r="A679" i="7"/>
  <c r="A680" i="7"/>
  <c r="A681" i="7"/>
  <c r="A682" i="7"/>
  <c r="A683" i="7"/>
  <c r="A684" i="7"/>
  <c r="A685" i="7"/>
  <c r="A686" i="7"/>
  <c r="A687" i="7"/>
  <c r="A688" i="7"/>
  <c r="A689" i="7"/>
  <c r="A690" i="7"/>
  <c r="A691" i="7"/>
  <c r="A692" i="7"/>
  <c r="A693" i="7"/>
  <c r="A694" i="7"/>
  <c r="A695" i="7"/>
  <c r="A696" i="7"/>
  <c r="A697" i="7"/>
  <c r="A698" i="7"/>
  <c r="A699" i="7"/>
  <c r="A700" i="7"/>
  <c r="A701" i="7"/>
  <c r="A702" i="7"/>
  <c r="A703" i="7"/>
  <c r="A704" i="7"/>
  <c r="A705" i="7"/>
  <c r="A706" i="7"/>
  <c r="A707" i="7"/>
  <c r="A708" i="7"/>
  <c r="A709" i="7"/>
  <c r="A710" i="7"/>
  <c r="A711" i="7"/>
  <c r="A712" i="7"/>
  <c r="A713" i="7"/>
  <c r="A714" i="7"/>
  <c r="A715" i="7"/>
  <c r="A716" i="7"/>
  <c r="A717" i="7"/>
  <c r="A718" i="7"/>
  <c r="A719" i="7"/>
  <c r="A720" i="7"/>
  <c r="A721" i="7"/>
  <c r="A722" i="7"/>
  <c r="A723" i="7"/>
  <c r="A724" i="7"/>
  <c r="A725" i="7"/>
  <c r="A726" i="7"/>
  <c r="A727" i="7"/>
  <c r="A728" i="7"/>
  <c r="A729" i="7"/>
  <c r="A730" i="7"/>
  <c r="A731" i="7"/>
  <c r="A732" i="7"/>
  <c r="A733" i="7"/>
  <c r="A734" i="7"/>
  <c r="A735" i="7"/>
  <c r="A736" i="7"/>
  <c r="A737" i="7"/>
  <c r="A738" i="7"/>
  <c r="A739" i="7"/>
  <c r="A740" i="7"/>
  <c r="A741" i="7"/>
  <c r="A742" i="7"/>
  <c r="A743" i="7"/>
  <c r="A744" i="7"/>
  <c r="A745" i="7"/>
  <c r="A746" i="7"/>
  <c r="A747" i="7"/>
  <c r="A748" i="7"/>
  <c r="A749" i="7"/>
  <c r="A750" i="7"/>
  <c r="A751" i="7"/>
  <c r="A752" i="7"/>
  <c r="A753" i="7"/>
  <c r="A754" i="7"/>
  <c r="A755" i="7"/>
  <c r="A756" i="7"/>
  <c r="A757" i="7"/>
  <c r="A758" i="7"/>
  <c r="A759" i="7"/>
  <c r="A760" i="7"/>
  <c r="A761" i="7"/>
  <c r="A762" i="7"/>
  <c r="A763" i="7"/>
  <c r="A764" i="7"/>
  <c r="A765" i="7"/>
  <c r="A766" i="7"/>
  <c r="A767" i="7"/>
  <c r="A768" i="7"/>
  <c r="A769" i="7"/>
  <c r="A770" i="7"/>
  <c r="A771" i="7"/>
  <c r="A772" i="7"/>
  <c r="A773" i="7"/>
  <c r="A774" i="7"/>
  <c r="A775" i="7"/>
  <c r="A776" i="7"/>
  <c r="A777" i="7"/>
  <c r="A778" i="7"/>
  <c r="A779" i="7"/>
  <c r="A780" i="7"/>
  <c r="A781" i="7"/>
  <c r="A782" i="7"/>
  <c r="A783" i="7"/>
  <c r="A784" i="7"/>
  <c r="A785" i="7"/>
  <c r="A786" i="7"/>
  <c r="A787" i="7"/>
  <c r="A788" i="7"/>
  <c r="A789" i="7"/>
  <c r="A790" i="7"/>
  <c r="A791" i="7"/>
  <c r="A792" i="7"/>
  <c r="A793" i="7"/>
  <c r="A794" i="7"/>
  <c r="A795" i="7"/>
  <c r="A796" i="7"/>
  <c r="A797" i="7"/>
  <c r="A798" i="7"/>
  <c r="A799" i="7"/>
  <c r="A800" i="7"/>
  <c r="A801" i="7"/>
  <c r="A802" i="7"/>
  <c r="A803" i="7"/>
  <c r="A804" i="7"/>
  <c r="A805" i="7"/>
  <c r="A806" i="7"/>
  <c r="A807" i="7"/>
  <c r="A808" i="7"/>
  <c r="A809" i="7"/>
  <c r="A810" i="7"/>
  <c r="A811" i="7"/>
  <c r="A812" i="7"/>
  <c r="A813" i="7"/>
  <c r="A814" i="7"/>
  <c r="A815" i="7"/>
  <c r="A816" i="7"/>
  <c r="A817" i="7"/>
  <c r="A818" i="7"/>
  <c r="A819" i="7"/>
  <c r="A820" i="7"/>
  <c r="A821" i="7"/>
  <c r="A822" i="7"/>
  <c r="A823" i="7"/>
  <c r="A824" i="7"/>
  <c r="A825" i="7"/>
  <c r="A826" i="7"/>
  <c r="A827" i="7"/>
  <c r="A828" i="7"/>
  <c r="A829" i="7"/>
  <c r="A830" i="7"/>
  <c r="A831" i="7"/>
  <c r="A832" i="7"/>
  <c r="A833" i="7"/>
  <c r="A834" i="7"/>
  <c r="A835" i="7"/>
  <c r="A836" i="7"/>
  <c r="A837" i="7"/>
  <c r="A838" i="7"/>
  <c r="A839" i="7"/>
  <c r="A840" i="7"/>
  <c r="A841" i="7"/>
  <c r="A842" i="7"/>
  <c r="A843" i="7"/>
  <c r="A844" i="7"/>
  <c r="A845" i="7"/>
  <c r="A846" i="7"/>
  <c r="A847" i="7"/>
  <c r="A848" i="7"/>
  <c r="A849" i="7"/>
  <c r="A850" i="7"/>
  <c r="A851" i="7"/>
  <c r="A852" i="7"/>
  <c r="A853" i="7"/>
  <c r="A854" i="7"/>
  <c r="A855" i="7"/>
  <c r="A856" i="7"/>
  <c r="A857" i="7"/>
  <c r="A858" i="7"/>
  <c r="A859" i="7"/>
  <c r="A860" i="7"/>
  <c r="A861" i="7"/>
  <c r="A862" i="7"/>
  <c r="A863" i="7"/>
  <c r="A864" i="7"/>
  <c r="A865" i="7"/>
  <c r="A866" i="7"/>
  <c r="A867" i="7"/>
  <c r="A868" i="7"/>
  <c r="A869" i="7"/>
  <c r="A870" i="7"/>
  <c r="A871" i="7"/>
  <c r="A872" i="7"/>
  <c r="A873" i="7"/>
  <c r="A874" i="7"/>
  <c r="A875" i="7"/>
  <c r="A876" i="7"/>
  <c r="A877" i="7"/>
  <c r="A878" i="7"/>
  <c r="A879" i="7"/>
  <c r="A880" i="7"/>
  <c r="A881" i="7"/>
  <c r="A882" i="7"/>
  <c r="A883" i="7"/>
  <c r="A884" i="7"/>
  <c r="A885" i="7"/>
  <c r="A886" i="7"/>
  <c r="A887" i="7"/>
  <c r="A888" i="7"/>
  <c r="A889" i="7"/>
  <c r="A890" i="7"/>
  <c r="A891" i="7"/>
  <c r="A892" i="7"/>
  <c r="A893" i="7"/>
  <c r="A894" i="7"/>
  <c r="A895" i="7"/>
  <c r="A896" i="7"/>
  <c r="A897" i="7"/>
  <c r="A898" i="7"/>
  <c r="A899" i="7"/>
  <c r="A900" i="7"/>
  <c r="A901" i="7"/>
  <c r="A902" i="7"/>
  <c r="A903" i="7"/>
  <c r="A904" i="7"/>
  <c r="A905" i="7"/>
  <c r="A906" i="7"/>
  <c r="A907" i="7"/>
  <c r="A908" i="7"/>
  <c r="A909" i="7"/>
  <c r="A910" i="7"/>
  <c r="A911" i="7"/>
  <c r="A912" i="7"/>
  <c r="A913" i="7"/>
  <c r="A914" i="7"/>
  <c r="A915" i="7"/>
  <c r="A916" i="7"/>
  <c r="A917" i="7"/>
  <c r="A918" i="7"/>
  <c r="A919" i="7"/>
  <c r="A920" i="7"/>
  <c r="A921" i="7"/>
  <c r="A922" i="7"/>
  <c r="A923" i="7"/>
  <c r="A924" i="7"/>
  <c r="A925" i="7"/>
  <c r="A926" i="7"/>
  <c r="A927" i="7"/>
  <c r="A928" i="7"/>
  <c r="A929" i="7"/>
  <c r="A930" i="7"/>
  <c r="A931" i="7"/>
  <c r="A932" i="7"/>
  <c r="A933" i="7"/>
  <c r="A934" i="7"/>
  <c r="A935" i="7"/>
  <c r="A936" i="7"/>
  <c r="A937" i="7"/>
  <c r="A938" i="7"/>
  <c r="A939" i="7"/>
  <c r="A940" i="7"/>
  <c r="A941" i="7"/>
  <c r="A942" i="7"/>
  <c r="A943" i="7"/>
  <c r="A944" i="7"/>
  <c r="A945" i="7"/>
  <c r="A946" i="7"/>
  <c r="A947" i="7"/>
  <c r="A948" i="7"/>
  <c r="A949" i="7"/>
  <c r="A950" i="7"/>
  <c r="A951" i="7"/>
  <c r="A952" i="7"/>
  <c r="A953" i="7"/>
  <c r="A954" i="7"/>
  <c r="A955" i="7"/>
  <c r="A956" i="7"/>
  <c r="A957" i="7"/>
  <c r="A958" i="7"/>
  <c r="A959" i="7"/>
  <c r="A960" i="7"/>
  <c r="A961" i="7"/>
  <c r="A962" i="7"/>
  <c r="A963" i="7"/>
  <c r="A964" i="7"/>
  <c r="A965" i="7"/>
  <c r="A966" i="7"/>
  <c r="A967" i="7"/>
  <c r="A968" i="7"/>
  <c r="A969" i="7"/>
  <c r="A970" i="7"/>
  <c r="A971" i="7"/>
  <c r="A972" i="7"/>
  <c r="A973" i="7"/>
  <c r="A974" i="7"/>
  <c r="A975" i="7"/>
  <c r="A976" i="7"/>
  <c r="A977" i="7"/>
  <c r="A978" i="7"/>
  <c r="A979" i="7"/>
  <c r="A980" i="7"/>
  <c r="A981" i="7"/>
  <c r="A982" i="7"/>
  <c r="A983" i="7"/>
  <c r="A984" i="7"/>
  <c r="A985" i="7"/>
  <c r="A986" i="7"/>
  <c r="A987" i="7"/>
  <c r="A988" i="7"/>
  <c r="A989" i="7"/>
  <c r="A990" i="7"/>
  <c r="A991" i="7"/>
  <c r="A992" i="7"/>
  <c r="A993" i="7"/>
  <c r="A994" i="7"/>
  <c r="A995" i="7"/>
  <c r="A996" i="7"/>
  <c r="A997" i="7"/>
  <c r="A998" i="7"/>
  <c r="A999" i="7"/>
  <c r="A1000" i="7"/>
  <c r="A1001" i="7"/>
  <c r="A1002" i="7"/>
  <c r="A1003" i="7"/>
  <c r="A1004" i="7"/>
  <c r="A1005" i="7"/>
  <c r="A1006" i="7"/>
  <c r="A1007" i="7"/>
  <c r="A1008" i="7"/>
  <c r="A1009" i="7"/>
  <c r="A1010" i="7"/>
  <c r="A1011" i="7"/>
  <c r="A1012" i="7"/>
  <c r="A1013" i="7"/>
  <c r="A1014" i="7"/>
  <c r="A1015" i="7"/>
  <c r="A1016" i="7"/>
  <c r="A1017" i="7"/>
  <c r="A1018" i="7"/>
  <c r="A1019" i="7"/>
  <c r="A1020" i="7"/>
  <c r="A1021" i="7"/>
  <c r="A1022" i="7"/>
  <c r="A1023" i="7"/>
  <c r="A1024" i="7"/>
  <c r="A1025" i="7"/>
  <c r="A1026" i="7"/>
  <c r="A1027" i="7"/>
  <c r="A1028" i="7"/>
  <c r="A1029" i="7"/>
  <c r="A1030" i="7"/>
  <c r="A1031" i="7"/>
  <c r="A1032" i="7"/>
  <c r="A1033" i="7"/>
  <c r="A1034" i="7"/>
  <c r="A1035" i="7"/>
  <c r="A1036" i="7"/>
  <c r="A1037" i="7"/>
  <c r="A1038" i="7"/>
  <c r="A1039" i="7"/>
  <c r="A1040" i="7"/>
  <c r="A1041" i="7"/>
  <c r="A1042" i="7"/>
  <c r="A1043" i="7"/>
  <c r="A1044" i="7"/>
  <c r="A1045" i="7"/>
  <c r="A1046" i="7"/>
  <c r="A1047" i="7"/>
  <c r="A1048" i="7"/>
  <c r="A1049" i="7"/>
  <c r="A1050" i="7"/>
  <c r="A1051" i="7"/>
  <c r="A1052" i="7"/>
  <c r="A1053" i="7"/>
  <c r="A1054" i="7"/>
  <c r="A1055" i="7"/>
  <c r="A1056" i="7"/>
  <c r="A1057" i="7"/>
  <c r="A1058" i="7"/>
  <c r="A1059" i="7"/>
  <c r="A1060" i="7"/>
  <c r="A1061" i="7"/>
  <c r="A1062" i="7"/>
  <c r="A1063" i="7"/>
  <c r="A1064" i="7"/>
  <c r="A1065" i="7"/>
  <c r="A1066" i="7"/>
  <c r="A1067" i="7"/>
  <c r="A1068" i="7"/>
  <c r="A1069" i="7"/>
  <c r="A1070" i="7"/>
  <c r="A1071" i="7"/>
  <c r="A1072" i="7"/>
  <c r="A1073" i="7"/>
  <c r="A1074" i="7"/>
  <c r="A1075" i="7"/>
  <c r="A1076" i="7"/>
  <c r="A1077" i="7"/>
  <c r="A1078" i="7"/>
  <c r="A1079" i="7"/>
  <c r="A1080" i="7"/>
  <c r="A1081" i="7"/>
  <c r="A1082" i="7"/>
  <c r="A1083" i="7"/>
  <c r="A1084" i="7"/>
  <c r="A1085" i="7"/>
  <c r="A1086" i="7"/>
  <c r="A1087" i="7"/>
  <c r="A1088" i="7"/>
  <c r="A1089" i="7"/>
  <c r="A1090" i="7"/>
  <c r="A1091" i="7"/>
  <c r="A1092" i="7"/>
  <c r="A1093" i="7"/>
  <c r="A1094" i="7"/>
  <c r="A1095" i="7"/>
  <c r="A1096" i="7"/>
  <c r="A1097" i="7"/>
  <c r="A1098" i="7"/>
  <c r="A1099" i="7"/>
  <c r="A1100" i="7"/>
  <c r="A1101" i="7"/>
  <c r="A1102" i="7"/>
  <c r="A1103" i="7"/>
  <c r="A1104" i="7"/>
  <c r="A1105" i="7"/>
  <c r="A1106" i="7"/>
  <c r="A1107" i="7"/>
  <c r="A1108" i="7"/>
  <c r="A1109" i="7"/>
  <c r="A1110" i="7"/>
  <c r="A1111" i="7"/>
  <c r="A1112" i="7"/>
  <c r="A1113" i="7"/>
  <c r="A1114" i="7"/>
  <c r="A1115" i="7"/>
  <c r="A1116" i="7"/>
  <c r="A1117" i="7"/>
  <c r="A1118" i="7"/>
  <c r="A1119" i="7"/>
  <c r="A1120" i="7"/>
  <c r="A1121" i="7"/>
  <c r="A1122" i="7"/>
  <c r="A1123" i="7"/>
  <c r="A1124" i="7"/>
  <c r="A1125" i="7"/>
  <c r="A1126" i="7"/>
  <c r="A1127" i="7"/>
  <c r="A1128" i="7"/>
  <c r="A1129" i="7"/>
  <c r="A1130" i="7"/>
  <c r="A1131" i="7"/>
  <c r="A1132" i="7"/>
  <c r="A1133" i="7"/>
  <c r="A1134" i="7"/>
  <c r="A1135" i="7"/>
  <c r="A1136" i="7"/>
  <c r="A1137" i="7"/>
  <c r="A1138" i="7"/>
  <c r="A1139" i="7"/>
  <c r="A1140" i="7"/>
  <c r="A1141" i="7"/>
  <c r="A1142" i="7"/>
  <c r="A1143" i="7"/>
  <c r="A1144" i="7"/>
  <c r="A1145" i="7"/>
  <c r="A1146" i="7"/>
  <c r="A1147" i="7"/>
  <c r="A1148" i="7"/>
  <c r="A1149" i="7"/>
  <c r="A1150" i="7"/>
  <c r="A1151" i="7"/>
  <c r="A1152" i="7"/>
  <c r="A1153" i="7"/>
  <c r="A1154" i="7"/>
  <c r="A1155" i="7"/>
  <c r="A1156" i="7"/>
  <c r="A1157" i="7"/>
  <c r="A1158" i="7"/>
  <c r="A1159" i="7"/>
  <c r="A1160" i="7"/>
  <c r="A1161" i="7"/>
  <c r="A1162" i="7"/>
  <c r="A1163" i="7"/>
  <c r="A1164" i="7"/>
  <c r="A1165" i="7"/>
  <c r="A1166" i="7"/>
  <c r="A1167" i="7"/>
  <c r="A1168" i="7"/>
  <c r="A1169" i="7"/>
  <c r="A1170" i="7"/>
  <c r="A1171" i="7"/>
  <c r="A1172" i="7"/>
  <c r="A1173" i="7"/>
  <c r="A1174" i="7"/>
  <c r="A1175" i="7"/>
  <c r="A1176" i="7"/>
  <c r="A1177" i="7"/>
  <c r="A1178" i="7"/>
  <c r="A1179" i="7"/>
  <c r="A1180" i="7"/>
  <c r="A1181" i="7"/>
  <c r="A1182" i="7"/>
  <c r="A1183" i="7"/>
  <c r="A1184" i="7"/>
  <c r="A1185" i="7"/>
  <c r="A1186" i="7"/>
  <c r="A1187" i="7"/>
  <c r="A1188" i="7"/>
  <c r="A1189" i="7"/>
  <c r="A1190" i="7"/>
  <c r="A1191" i="7"/>
  <c r="A1192" i="7"/>
  <c r="A1193" i="7"/>
  <c r="A1194" i="7"/>
  <c r="A1195" i="7"/>
  <c r="A1196" i="7"/>
  <c r="A1197" i="7"/>
  <c r="A1198" i="7"/>
  <c r="A1199" i="7"/>
  <c r="A1200" i="7"/>
  <c r="A1201" i="7"/>
  <c r="A1202" i="7"/>
  <c r="A1203" i="7"/>
  <c r="A1204" i="7"/>
  <c r="A1205" i="7"/>
  <c r="A1206" i="7"/>
  <c r="A1207" i="7"/>
  <c r="A1208" i="7"/>
  <c r="A1209" i="7"/>
  <c r="A1210" i="7"/>
  <c r="A1211" i="7"/>
  <c r="A1212" i="7"/>
  <c r="A1213" i="7"/>
  <c r="A1214" i="7"/>
  <c r="A1215" i="7"/>
  <c r="A1216" i="7"/>
  <c r="A1217" i="7"/>
  <c r="A1218" i="7"/>
  <c r="A1219" i="7"/>
  <c r="A1220" i="7"/>
  <c r="A1221" i="7"/>
  <c r="A1222" i="7"/>
  <c r="A1223" i="7"/>
  <c r="A1224" i="7"/>
  <c r="A1225" i="7"/>
  <c r="A1226" i="7"/>
  <c r="A1227" i="7"/>
  <c r="A1228" i="7"/>
  <c r="A1229" i="7"/>
  <c r="A1230" i="7"/>
  <c r="A1231" i="7"/>
  <c r="A1232" i="7"/>
  <c r="A1233" i="7"/>
  <c r="A1234" i="7"/>
  <c r="A1235" i="7"/>
  <c r="A1236" i="7"/>
  <c r="A1237" i="7"/>
  <c r="A1238" i="7"/>
  <c r="A1239" i="7"/>
  <c r="A1240" i="7"/>
  <c r="A1241" i="7"/>
  <c r="A1242" i="7"/>
  <c r="A1243" i="7"/>
  <c r="A1244" i="7"/>
  <c r="A1245" i="7"/>
  <c r="A1246" i="7"/>
  <c r="A1247" i="7"/>
  <c r="A1248" i="7"/>
  <c r="A1249" i="7"/>
  <c r="A1250" i="7"/>
  <c r="A1251" i="7"/>
  <c r="A1252" i="7"/>
  <c r="A2" i="7"/>
  <c r="C5" i="6"/>
  <c r="G149" i="1"/>
  <c r="G144" i="1"/>
  <c r="B142" i="1"/>
  <c r="C11" i="6"/>
  <c r="B11" i="6"/>
  <c r="C10" i="6"/>
  <c r="B10" i="6"/>
  <c r="C9" i="6"/>
  <c r="B9" i="6"/>
  <c r="C8" i="6"/>
  <c r="B8" i="6"/>
  <c r="C7" i="6"/>
  <c r="B7" i="6"/>
  <c r="C6" i="6"/>
  <c r="B6" i="6"/>
  <c r="B5" i="6"/>
  <c r="C4" i="6"/>
  <c r="B4" i="6"/>
  <c r="C3" i="6"/>
  <c r="B3" i="6"/>
  <c r="C2" i="6"/>
  <c r="B2" i="6"/>
  <c r="G67" i="1"/>
  <c r="G63" i="1"/>
  <c r="G139" i="1"/>
  <c r="G135" i="1"/>
  <c r="G126" i="1"/>
  <c r="G130" i="1"/>
  <c r="G111" i="1"/>
  <c r="G119" i="1"/>
  <c r="G115" i="1"/>
  <c r="G50" i="1"/>
  <c r="G47" i="1"/>
  <c r="G45" i="1"/>
  <c r="G42" i="1"/>
  <c r="G38" i="1"/>
  <c r="G53" i="1"/>
  <c r="G51" i="1" s="1"/>
  <c r="G59" i="1"/>
  <c r="G33" i="1"/>
  <c r="G28" i="1"/>
  <c r="G72" i="1"/>
  <c r="G153" i="1"/>
  <c r="G105" i="1"/>
  <c r="G100" i="1"/>
  <c r="G96" i="1"/>
  <c r="G92" i="1"/>
  <c r="G87" i="1"/>
  <c r="G83" i="1"/>
  <c r="G76" i="1"/>
  <c r="G21" i="1"/>
  <c r="H2" i="6" l="1" a="1"/>
  <c r="H2" i="6" s="1"/>
  <c r="G2" i="6" a="1"/>
  <c r="G2" i="6" s="1"/>
  <c r="I2" i="6" a="1"/>
  <c r="I2" i="6" s="1"/>
  <c r="L2" i="6" a="1"/>
  <c r="L2" i="6" s="1"/>
  <c r="K2" i="6" a="1"/>
  <c r="K2" i="6" s="1"/>
  <c r="J2" i="6" a="1"/>
  <c r="J2" i="6" s="1"/>
  <c r="G7" i="6" a="1"/>
  <c r="G7" i="6" s="1"/>
  <c r="K6" i="6" a="1"/>
  <c r="K6" i="6" s="1"/>
  <c r="L7" i="6" a="1"/>
  <c r="L7" i="6" s="1"/>
  <c r="G4" i="6" a="1"/>
  <c r="G4" i="6" s="1"/>
  <c r="H6" i="6" a="1"/>
  <c r="H6" i="6" s="1"/>
  <c r="K5" i="6" a="1"/>
  <c r="K5" i="6" s="1"/>
  <c r="G5" i="6" a="1"/>
  <c r="G5" i="6" s="1"/>
  <c r="H5" i="6" a="1"/>
  <c r="H5" i="6" s="1"/>
  <c r="K4" i="6" a="1"/>
  <c r="K4" i="6" s="1"/>
  <c r="K3" i="6" a="1"/>
  <c r="K3" i="6" s="1"/>
  <c r="G6" i="6" a="1"/>
  <c r="G6" i="6" s="1"/>
  <c r="H3" i="6" a="1"/>
  <c r="H3" i="6" s="1"/>
  <c r="D29" i="6" a="1"/>
  <c r="D29" i="6" s="1"/>
  <c r="L6" i="6" a="1"/>
  <c r="L6" i="6" s="1"/>
  <c r="K7" i="6" a="1"/>
  <c r="K7" i="6" s="1"/>
  <c r="J4" i="6" a="1"/>
  <c r="J4" i="6" s="1"/>
  <c r="I6" i="6" a="1"/>
  <c r="I6" i="6" s="1"/>
  <c r="L5" i="6" a="1"/>
  <c r="L5" i="6" s="1"/>
  <c r="J5" i="6" a="1"/>
  <c r="J5" i="6" s="1"/>
  <c r="H4" i="6" a="1"/>
  <c r="H4" i="6" s="1"/>
  <c r="H7" i="6" a="1"/>
  <c r="H7" i="6" s="1"/>
  <c r="I5" i="6" a="1"/>
  <c r="I5" i="6" s="1"/>
  <c r="L4" i="6" a="1"/>
  <c r="L4" i="6" s="1"/>
  <c r="J3" i="6" a="1"/>
  <c r="J3" i="6" s="1"/>
  <c r="I7" i="6" a="1"/>
  <c r="I7" i="6" s="1"/>
  <c r="I4" i="6" a="1"/>
  <c r="I4" i="6" s="1"/>
  <c r="L3" i="6" a="1"/>
  <c r="L3" i="6" s="1"/>
  <c r="J6" i="6" a="1"/>
  <c r="J6" i="6" s="1"/>
  <c r="G3" i="6" a="1"/>
  <c r="G3" i="6" s="1"/>
  <c r="J7" i="6" a="1"/>
  <c r="J7" i="6" s="1"/>
  <c r="I3" i="6" a="1"/>
  <c r="I3" i="6" s="1"/>
  <c r="C11" i="2"/>
  <c r="J142" i="1" s="1"/>
  <c r="I153" i="1" s="1"/>
  <c r="C10" i="2"/>
  <c r="C9" i="2"/>
  <c r="C8" i="2"/>
  <c r="C7" i="2"/>
  <c r="C6" i="2"/>
  <c r="C5" i="2"/>
  <c r="C4" i="2"/>
  <c r="C3" i="2"/>
  <c r="C2" i="2"/>
  <c r="G57" i="1"/>
  <c r="D5" i="2" s="1"/>
  <c r="G133" i="1"/>
  <c r="G109" i="1"/>
  <c r="D8" i="2" s="1"/>
  <c r="G26" i="1"/>
  <c r="D3" i="2" s="1"/>
  <c r="G124" i="1"/>
  <c r="D9" i="2" s="1"/>
  <c r="G70" i="1"/>
  <c r="I149" i="1"/>
  <c r="I150" i="1"/>
  <c r="I151" i="1"/>
  <c r="D4" i="2"/>
  <c r="G81" i="1"/>
  <c r="G2" i="1"/>
  <c r="G142" i="1"/>
  <c r="D11" i="2" s="1"/>
  <c r="I144" i="1" l="1"/>
  <c r="I147" i="1"/>
  <c r="I146" i="1"/>
  <c r="I145" i="1"/>
  <c r="J81" i="1"/>
  <c r="I102" i="1" s="1"/>
  <c r="J124" i="1"/>
  <c r="I126" i="1" s="1"/>
  <c r="J109" i="1"/>
  <c r="I112" i="1" s="1"/>
  <c r="J133" i="1"/>
  <c r="I140" i="1" s="1"/>
  <c r="I121" i="1"/>
  <c r="I122" i="1"/>
  <c r="I123" i="1"/>
  <c r="I93" i="1"/>
  <c r="I119" i="1"/>
  <c r="I94" i="1"/>
  <c r="I113" i="1"/>
  <c r="I115" i="1"/>
  <c r="I108" i="1"/>
  <c r="I90" i="1"/>
  <c r="I120" i="1"/>
  <c r="J57" i="1"/>
  <c r="I59" i="1" s="1"/>
  <c r="J2" i="1"/>
  <c r="J51" i="1"/>
  <c r="I53" i="1" s="1"/>
  <c r="J70" i="1"/>
  <c r="I80" i="1" s="1"/>
  <c r="J26" i="1"/>
  <c r="I29" i="1" s="1"/>
  <c r="I107" i="1"/>
  <c r="I96" i="1"/>
  <c r="I88" i="1"/>
  <c r="D10" i="2"/>
  <c r="D2" i="2"/>
  <c r="D6" i="2"/>
  <c r="D7" i="2"/>
  <c r="I142" i="1"/>
  <c r="I22" i="1" l="1"/>
  <c r="I14" i="1"/>
  <c r="I19" i="1"/>
  <c r="I18" i="1"/>
  <c r="I17" i="1"/>
  <c r="I16" i="1"/>
  <c r="I97" i="1"/>
  <c r="I98" i="1"/>
  <c r="I117" i="1"/>
  <c r="I111" i="1"/>
  <c r="I116" i="1"/>
  <c r="I92" i="1"/>
  <c r="I106" i="1"/>
  <c r="I81" i="1"/>
  <c r="I83" i="1"/>
  <c r="I130" i="1"/>
  <c r="I124" i="1"/>
  <c r="I89" i="1"/>
  <c r="I87" i="1"/>
  <c r="I128" i="1"/>
  <c r="I105" i="1"/>
  <c r="I85" i="1"/>
  <c r="I84" i="1"/>
  <c r="I101" i="1"/>
  <c r="I103" i="1"/>
  <c r="I100" i="1"/>
  <c r="I127" i="1"/>
  <c r="I131" i="1"/>
  <c r="I132" i="1"/>
  <c r="I109" i="1"/>
  <c r="I2" i="1"/>
  <c r="I56" i="1"/>
  <c r="I64" i="1"/>
  <c r="I61" i="1"/>
  <c r="I57" i="1"/>
  <c r="I60" i="1"/>
  <c r="I23" i="1"/>
  <c r="I25" i="1"/>
  <c r="I11" i="1"/>
  <c r="I43" i="1"/>
  <c r="I63" i="1"/>
  <c r="I35" i="1"/>
  <c r="I7" i="1"/>
  <c r="I67" i="1"/>
  <c r="I5" i="1"/>
  <c r="I69" i="1"/>
  <c r="I21" i="1"/>
  <c r="I45" i="1"/>
  <c r="I68" i="1"/>
  <c r="I65" i="1"/>
  <c r="I133" i="1"/>
  <c r="I139" i="1"/>
  <c r="I135" i="1"/>
  <c r="I141" i="1"/>
  <c r="I136" i="1"/>
  <c r="I137" i="1"/>
  <c r="I6" i="1"/>
  <c r="I24" i="1"/>
  <c r="I10" i="1"/>
  <c r="I8" i="1"/>
  <c r="I4" i="1"/>
  <c r="I13" i="1"/>
  <c r="I12" i="1"/>
  <c r="I47" i="1"/>
  <c r="I78" i="1"/>
  <c r="I70" i="1"/>
  <c r="I55" i="1"/>
  <c r="I34" i="1"/>
  <c r="I26" i="1"/>
  <c r="I39" i="1"/>
  <c r="I72" i="1"/>
  <c r="I76" i="1"/>
  <c r="I54" i="1"/>
  <c r="I42" i="1"/>
  <c r="I38" i="1"/>
  <c r="I51" i="1"/>
  <c r="I50" i="1"/>
  <c r="I30" i="1"/>
  <c r="I48" i="1"/>
  <c r="I31" i="1"/>
  <c r="I33" i="1"/>
  <c r="I40" i="1"/>
  <c r="I28" i="1"/>
  <c r="I36" i="1"/>
  <c r="I74" i="1"/>
  <c r="I79" i="1"/>
  <c r="I73" i="1"/>
  <c r="I77" i="1"/>
  <c r="B12" i="2" l="1"/>
  <c r="B11" i="2"/>
  <c r="B10" i="2"/>
  <c r="B9" i="2"/>
  <c r="B8" i="2"/>
  <c r="B7" i="2"/>
  <c r="B6" i="2"/>
  <c r="B5" i="2"/>
  <c r="B4" i="2"/>
  <c r="B3"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Mads Maarslet Richter</author>
  </authors>
  <commentList>
    <comment ref="D4" authorId="0" shapeId="0" xr:uid="{59138F47-4DB0-417F-B6D4-D27A06F91067}">
      <text>
        <r>
          <rPr>
            <b/>
            <sz val="9"/>
            <color indexed="81"/>
            <rFont val="Tahoma"/>
            <family val="2"/>
          </rPr>
          <t>Mads Maarslet Richter:</t>
        </r>
        <r>
          <rPr>
            <sz val="9"/>
            <color indexed="81"/>
            <rFont val="Tahoma"/>
            <family val="2"/>
          </rPr>
          <t xml:space="preserve">
Dette kriterie kræver, at virksomheden har udarbejdet et CO2e-regnskab, som inkluderer både Scope 1 og Scope 2-udledninger.
Scope 1 dækker virksomhedens direkte udledninger, f.eks. fra egne køretøjer eller forbrænding af brændstof i egne anlæg. Scope 2 dækker virksomhedens indirekte udledninger fra indkøbt energi, primært elektricitet og fjernvarme.
Regnskabet skal være baseret på anerkendte standarder, f.eks. Greenhouse Gas Protocol, og udtrykt i CO2e. Kriteriet kræver ikke validering fra tredjepart, men beregningen skal være gennemført systematisk og dokumenteret.
</t>
        </r>
        <r>
          <rPr>
            <b/>
            <sz val="9"/>
            <color indexed="81"/>
            <rFont val="Tahoma"/>
            <family val="2"/>
          </rPr>
          <t>Dokumentation</t>
        </r>
        <r>
          <rPr>
            <sz val="9"/>
            <color indexed="81"/>
            <rFont val="Tahoma"/>
            <family val="2"/>
          </rPr>
          <t xml:space="preserve">
• CO2e-beregning med opdeling i Scope 1 og Scope 2 (f.eks. Excel-ark, rapport eller udtræk fra digital løsning)
• Beskrivelse af metode og datagrundlag (f.eks. anvendte emissionsfaktorer, datakilder)
• Årstal eller periode for de opgjorte udledninger
</t>
        </r>
      </text>
    </comment>
    <comment ref="D5" authorId="0" shapeId="0" xr:uid="{AFCCF3FD-D714-4E8E-8BE5-823E47B9827D}">
      <text>
        <r>
          <rPr>
            <b/>
            <sz val="9"/>
            <color indexed="81"/>
            <rFont val="Tahoma"/>
            <family val="2"/>
          </rPr>
          <t>Mads Maarslet Richter:</t>
        </r>
        <r>
          <rPr>
            <sz val="9"/>
            <color indexed="81"/>
            <rFont val="Tahoma"/>
            <family val="2"/>
          </rPr>
          <t xml:space="preserve">
Dette kriterie kræver, at virksomheden har udarbejdet et CO2e-regnskab, der inkluderer både Scope 1, 2 og 3-udledninger. Scope 1 og 2 skal opgøres som beskrevet i E1.1.1.
Scope 3 dækker øvrige indirekte udledninger i virksomhedens værdikæde. Det kan f.eks. være udledninger fra leverandører (indkøbte varer og tjenesteydelser), transport, brug og bortskaffelse af solgte produkter, affaldsbehandling, forretningsrejser og pendling.
Det er ikke et krav, at alle Scope 3-kategorier er dækket. Derimod kræver kriteriet, at virksomheden har vurderet, hvor de væsentligste Scope 3-udledninger forekommer, og at disse er inkluderet i opgørelsen. 
</t>
        </r>
        <r>
          <rPr>
            <b/>
            <sz val="9"/>
            <color indexed="81"/>
            <rFont val="Tahoma"/>
            <family val="2"/>
          </rPr>
          <t>Dokumentation</t>
        </r>
        <r>
          <rPr>
            <sz val="9"/>
            <color indexed="81"/>
            <rFont val="Tahoma"/>
            <family val="2"/>
          </rPr>
          <t xml:space="preserve">
• CO2e-beregning med opdeling i Scope 1, 2 og 3 (f.eks. Excel-ark, rapport eller udtræk fra digital løsning)
• Beskrivelse af vurderingen af væsentlighed i Scope 3 (f.eks. hvilke kategorier der er valgt, og hvorfor)
• Metode og datagrundlag for de valgte Scope 3-kategorier
• Oplysninger om antagelser, skøn og eventuelle afgrænsninger
• Årstal eller periode for de opgjorte udledninger
</t>
        </r>
      </text>
    </comment>
    <comment ref="D6" authorId="0" shapeId="0" xr:uid="{0A016BFE-042B-4110-9FD7-C13C2F29D11B}">
      <text>
        <r>
          <rPr>
            <b/>
            <sz val="9"/>
            <color indexed="81"/>
            <rFont val="Tahoma"/>
            <family val="2"/>
          </rPr>
          <t>Mads Maarslet Richter:</t>
        </r>
        <r>
          <rPr>
            <sz val="9"/>
            <color indexed="81"/>
            <rFont val="Tahoma"/>
            <family val="2"/>
          </rPr>
          <t xml:space="preserve">
Dette kriterie kræver at virksomheden har en politik til håndtering af deres CO2e-udledninger. Der er ikke noget krav til at virksomheden skal have en dedikeret politik til emnet, men de har en politik som håndterer virksomhedens udledninger. Det er nødvendigt at det er en nedskreven politik, som er formidlet ud til virksomhedens medarbejdere.
</t>
        </r>
        <r>
          <rPr>
            <b/>
            <sz val="9"/>
            <color indexed="81"/>
            <rFont val="Tahoma"/>
            <family val="2"/>
          </rPr>
          <t>Dokumentation</t>
        </r>
        <r>
          <rPr>
            <sz val="9"/>
            <color indexed="81"/>
            <rFont val="Tahoma"/>
            <family val="2"/>
          </rPr>
          <t xml:space="preserve">
• Vedhæftet/link til nedskreven politik.
• Bevis for at politikken er formidlet ud til medarbejderne.
</t>
        </r>
      </text>
    </comment>
    <comment ref="D7" authorId="0" shapeId="0" xr:uid="{3DF189C9-F8F6-42E5-A766-F4F3E498B9FC}">
      <text>
        <r>
          <rPr>
            <b/>
            <sz val="9"/>
            <color indexed="81"/>
            <rFont val="Tahoma"/>
            <family val="2"/>
          </rPr>
          <t>Mads Maarslet Richter:</t>
        </r>
        <r>
          <rPr>
            <sz val="9"/>
            <color indexed="81"/>
            <rFont val="Tahoma"/>
            <family val="2"/>
          </rPr>
          <t xml:space="preserve">
Dette kriterie kræver, at virksomheden har opsat konkrete og målbare mål for at reducere sine CO2e-udledninger.
Det er ikke et krav, at virksomheden allerede har foretaget en fuld opgørelse af sine CO2e-udledninger (Scope 1, 2 eller 3), men det vil gøre målene mere præcise og efterprøvelige. Målene kan være kvantitative (f.eks. "reducere Scope 1 og 2 med 80 % inden 2030") eller kvalitative (f.eks. "udfase alt fossilt brændsel og anvende 100 % vedvarende energi inden 2027").
Målsætningerne skal være nedskrevne, og det skal fremgå, hvilke områder eller aktiviteter de omfatter, samt hvilken tidshorisont de har. Det er ikke et krav, at målene er bindende eller lovet eksternt, men de skal være formuleret som en faktisk intern målsætning.
</t>
        </r>
        <r>
          <rPr>
            <b/>
            <sz val="9"/>
            <color indexed="81"/>
            <rFont val="Tahoma"/>
            <family val="2"/>
          </rPr>
          <t xml:space="preserve">
Dokumentation</t>
        </r>
        <r>
          <rPr>
            <sz val="9"/>
            <color indexed="81"/>
            <rFont val="Tahoma"/>
            <family val="2"/>
          </rPr>
          <t xml:space="preserve">
• Nedskrevne målsætninger for CO2e-reduktion (f.eks. i strategi, politik eller handlingsplan)
• Tidsramme for målene og angivelse af hvilke aktiviteter, områder eller scopes de dækker
• Hvis muligt: Kobling til baseline (f.eks. referenceår eller forbrugsdata)
</t>
        </r>
      </text>
    </comment>
    <comment ref="D8" authorId="0" shapeId="0" xr:uid="{00D3ECE0-762D-4319-B3E2-22A7F27C031D}">
      <text>
        <r>
          <rPr>
            <b/>
            <sz val="9"/>
            <color indexed="81"/>
            <rFont val="Tahoma"/>
            <family val="2"/>
          </rPr>
          <t>Mads Maarslet Richter:</t>
        </r>
        <r>
          <rPr>
            <sz val="9"/>
            <color indexed="81"/>
            <rFont val="Tahoma"/>
            <family val="2"/>
          </rPr>
          <t xml:space="preserve">
Dette kriterie kræver, at virksomheden har en strategi for, hvordan den vil realisere sine målsætninger for reduktion af CO2e-udledninger.
Strategien skal beskrive, hvilke konkrete tiltag virksomheden vil gennemføre for at nedbringe udledningerne, og hvordan disse tiltag bidrager til at nå de opstillede mål. Det kan f.eks. være planer om at udskifte gasfyr med varmepumper, overgå til grøn el, omlægge transportformer, energieffektivisere bygninger eller samarbejde med leverandører om lavere udledninger.
Strategien skal dække både tekniske, organisatoriske og/eller adfærdsmæssige tiltag og skal være tilpasset virksomhedens egne forhold. Det er ikke nødvendigt, at strategien er detaljeret på alle punkter, men den skal vise en gennemtænkt tilgang til, hvordan målene skal opnås.
</t>
        </r>
        <r>
          <rPr>
            <b/>
            <sz val="9"/>
            <color indexed="81"/>
            <rFont val="Tahoma"/>
            <family val="2"/>
          </rPr>
          <t>Dokumentation</t>
        </r>
        <r>
          <rPr>
            <sz val="9"/>
            <color indexed="81"/>
            <rFont val="Tahoma"/>
            <family val="2"/>
          </rPr>
          <t xml:space="preserve">
• Et selvstændigt strategidokument for CO2e-reduktion eller
• En strategi, der er integreret i f.eks. miljøpolitik, bæredygtighedsstrategi eller målsætningspapir
• Strategien skal beskrive planlagte handlinger, prioriterede indsatsområder og evt. milepæle
</t>
        </r>
      </text>
    </comment>
    <comment ref="D10" authorId="0" shapeId="0" xr:uid="{C343C143-025B-4C86-95C6-C5DDF4656D33}">
      <text>
        <r>
          <rPr>
            <sz val="9"/>
            <color indexed="81"/>
            <rFont val="Tahoma"/>
            <family val="2"/>
          </rPr>
          <t xml:space="preserve">Dette kriterie kræver, at virksomheden har udpeget ansvarlige for energiledelse og fastlagt, hvordan ansvaret er organiseret på den pågældende lokation. Det skal fremgå, hvem der overvåger energiforbruget, følger op på mål og koordinerer indsatser.
Organiseringen skal sikre, at energiforbrug og -effektivitet håndteres systematisk og løbende, og at energiarbejdet er integreret i driften – f.eks. via energiansvarlige, styringssystemer eller regelmæssige møder.
</t>
        </r>
        <r>
          <rPr>
            <b/>
            <sz val="9"/>
            <color indexed="81"/>
            <rFont val="Tahoma"/>
            <family val="2"/>
          </rPr>
          <t>Dokumentation</t>
        </r>
        <r>
          <rPr>
            <sz val="9"/>
            <color indexed="81"/>
            <rFont val="Tahoma"/>
            <family val="2"/>
          </rPr>
          <t xml:space="preserve">
• Oversigt over ansvarlige personer eller funktioner
• Organisationsdiagram, mødenotater eller jobbeskrivelser
• Beskrivelse af, hvordan energiledelse er forankret i daglig drift
</t>
        </r>
      </text>
    </comment>
    <comment ref="D11" authorId="0" shapeId="0" xr:uid="{B8D0FD56-0D1F-4C07-9D1D-9EC68C2EB22C}">
      <text>
        <r>
          <rPr>
            <sz val="9"/>
            <color indexed="81"/>
            <rFont val="Tahoma"/>
            <family val="2"/>
          </rPr>
          <t xml:space="preserve">Dette kriterie kræver, at virksomheden har en skriftlig og ledelsesgodkendt politik, der beskriver dens tilgang til energiforbrug og energieffektivitet.
Politikken skal indeholde principper for reduktion af energiforbrug, brug af energieffektive løsninger og omstilling til vedvarende energi. Den skal være operationel – dvs. brugt aktivt i virksomhedens beslutninger og praksis – og gælde for den konkrete lokation.
</t>
        </r>
        <r>
          <rPr>
            <b/>
            <sz val="9"/>
            <color indexed="81"/>
            <rFont val="Tahoma"/>
            <family val="2"/>
          </rPr>
          <t>Dokumentation</t>
        </r>
        <r>
          <rPr>
            <sz val="9"/>
            <color indexed="81"/>
            <rFont val="Tahoma"/>
            <family val="2"/>
          </rPr>
          <t xml:space="preserve">
• Kopi eller uddrag af energipolitikken
• Dato for godkendelse og ansvarlig enhed/person
• Evt. angivelse af politikken i interne dokumenter eller ESG-rapportering</t>
        </r>
        <r>
          <rPr>
            <b/>
            <sz val="9"/>
            <color indexed="81"/>
            <rFont val="Tahoma"/>
            <family val="2"/>
          </rPr>
          <t xml:space="preserve">
</t>
        </r>
        <r>
          <rPr>
            <sz val="9"/>
            <color indexed="81"/>
            <rFont val="Tahoma"/>
            <family val="2"/>
          </rPr>
          <t xml:space="preserve">
</t>
        </r>
      </text>
    </comment>
    <comment ref="D12" authorId="0" shapeId="0" xr:uid="{9BAFB79B-32C7-4E80-A0DE-17E53553F164}">
      <text>
        <r>
          <rPr>
            <sz val="9"/>
            <color indexed="81"/>
            <rFont val="Tahoma"/>
            <family val="2"/>
          </rPr>
          <t xml:space="preserve">Dette kriterie kræver, at virksomheden har fastlagt målbare, tidsbestemte mål for reduktion af energiforbrug og/eller øgning af andelen af vedvarende energi på lokationen.
Målene skal være kvantitative og tage udgangspunkt i en baseline. Der kan f.eks. være tale om reduktion i kWh, procentvis forbedring af energieffektivitet eller mål for el fra vedvarende kilder.
</t>
        </r>
        <r>
          <rPr>
            <b/>
            <sz val="9"/>
            <color indexed="81"/>
            <rFont val="Tahoma"/>
            <family val="2"/>
          </rPr>
          <t>Dokumentation</t>
        </r>
        <r>
          <rPr>
            <sz val="9"/>
            <color indexed="81"/>
            <rFont val="Tahoma"/>
            <family val="2"/>
          </rPr>
          <t xml:space="preserve">
• Liste med målsætninger og relevante tal (baseline, målniveau, årstal)
• Interne beslutningsdokumenter eller præsentationer
• Eventuel offentliggørelse i ESG-rapportering eller strategiplaner
</t>
        </r>
      </text>
    </comment>
    <comment ref="D13" authorId="0" shapeId="0" xr:uid="{AA3CD905-29C6-48FA-BF62-8279485575A8}">
      <text>
        <r>
          <rPr>
            <sz val="9"/>
            <color indexed="81"/>
            <rFont val="Tahoma"/>
            <family val="2"/>
          </rPr>
          <t xml:space="preserve">Dette kriterie kræver, at virksomheden har en strategi for, hvordan den vil realisere sine målsætninger for energireduktion og/eller grøn omstilling.
Strategien skal beskrive, hvilke konkrete tiltag virksomheden vil gennemføre, og hvordan disse bidrager til at nå de opstillede mål. Det kan f.eks. være skift til LED, ventilationsovervågning, investering i solceller eller træning i energiadfærd. Planen skal være tilpasset virksomhedens forhold og kan både omfatte tekniske, organisatoriske og adfærdsmæssige indsatser.
</t>
        </r>
        <r>
          <rPr>
            <b/>
            <sz val="9"/>
            <color indexed="81"/>
            <rFont val="Tahoma"/>
            <family val="2"/>
          </rPr>
          <t>Dokumentation</t>
        </r>
        <r>
          <rPr>
            <sz val="9"/>
            <color indexed="81"/>
            <rFont val="Tahoma"/>
            <family val="2"/>
          </rPr>
          <t xml:space="preserve">
• Handlingsplan eller strategipapir med konkrete tiltag
• Oversigt over planlagte investeringer, tidsplaner og ansvar
• Interne dokumenter der viser prioritering og implementering</t>
        </r>
        <r>
          <rPr>
            <b/>
            <sz val="9"/>
            <color indexed="81"/>
            <rFont val="Tahoma"/>
            <family val="2"/>
          </rPr>
          <t xml:space="preserve">
</t>
        </r>
        <r>
          <rPr>
            <sz val="9"/>
            <color indexed="81"/>
            <rFont val="Tahoma"/>
            <family val="2"/>
          </rPr>
          <t xml:space="preserve">
</t>
        </r>
      </text>
    </comment>
    <comment ref="D14" authorId="0" shapeId="0" xr:uid="{F4201B57-7DCA-420D-B0A6-AA3CF5209B28}">
      <text>
        <r>
          <rPr>
            <sz val="9"/>
            <color indexed="81"/>
            <rFont val="Tahoma"/>
            <family val="2"/>
          </rPr>
          <t xml:space="preserve">Dette kriterie kræver, at virksomheden systematisk overvåger og følger op på sit energiforbrug – herunder både el og brændstoffer – og bruger data aktivt til forbedring.
Virksomheden skal mindst én gang årligt gennemgå energidata og vurdere udviklingen ift. sine mål. Der skal være fast praksis for dataindsamling, analyse og handling – gerne understøttet af målersystemer, dashboards eller energirapporter.
</t>
        </r>
        <r>
          <rPr>
            <b/>
            <sz val="9"/>
            <color indexed="81"/>
            <rFont val="Tahoma"/>
            <family val="2"/>
          </rPr>
          <t>Dokumentation</t>
        </r>
        <r>
          <rPr>
            <sz val="9"/>
            <color indexed="81"/>
            <rFont val="Tahoma"/>
            <family val="2"/>
          </rPr>
          <t xml:space="preserve">
• Eksempler på energidata, analyser eller opfølgningsrapporter
• Procedurer for løbende måling og opfølgning
• Interne referater eller evalueringer med fokus på energiforbrug</t>
        </r>
        <r>
          <rPr>
            <b/>
            <sz val="9"/>
            <color indexed="81"/>
            <rFont val="Tahoma"/>
            <family val="2"/>
          </rPr>
          <t xml:space="preserve">
</t>
        </r>
      </text>
    </comment>
    <comment ref="D16" authorId="0" shapeId="0" xr:uid="{3A1FB54C-9F06-4126-9EB9-C5A7922F6EDC}">
      <text>
        <r>
          <rPr>
            <sz val="9"/>
            <color indexed="81"/>
            <rFont val="Tahoma"/>
            <family val="2"/>
          </rPr>
          <t xml:space="preserve">Dette kriterie kræver, at mindst 20 % af virksomhedens mulige energiforbrug på lokationen stammer fra vedvarende kilder.
"Muligt energiforbrug" betyder, at virksomheden kun skal inkludere energityper, hvor det teknisk og kommercielt er realistisk at anvende vedvarende alternativer – f.eks. elektricitet, varme og visse typer brændstoffer. Hvis dele af forbruget ikke kan dækkes af grønne kilder (f.eks. specialiseret udstyr med krav om diesel eller naturgas), må dette udelades fra beregningsgrundlaget.
</t>
        </r>
        <r>
          <rPr>
            <b/>
            <sz val="9"/>
            <color indexed="81"/>
            <rFont val="Tahoma"/>
            <family val="2"/>
          </rPr>
          <t>Dokumentation</t>
        </r>
        <r>
          <rPr>
            <sz val="9"/>
            <color indexed="81"/>
            <rFont val="Tahoma"/>
            <family val="2"/>
          </rPr>
          <t xml:space="preserve">
• Energiopgørelse med fordeling på vedvarende og ikke-vedvarende
• Angivelse af den del af forbruget, hvor grønne alternativer ikke er mulige
• Oprindelsesgarantier, egne produktionstal eller leverandørdata
</t>
        </r>
      </text>
    </comment>
    <comment ref="D17" authorId="0" shapeId="0" xr:uid="{79F57054-5A65-40C5-9CCB-4A482280D15C}">
      <text>
        <r>
          <rPr>
            <sz val="9"/>
            <color indexed="81"/>
            <rFont val="Tahoma"/>
            <family val="2"/>
          </rPr>
          <t xml:space="preserve">Dette kriterie kræver, at mindst 50 % af virksomhedens mulige energiforbrug på lokationen dækkes af vedvarende energikilder.
Det skal fremgå tydeligt, hvordan energiforbruget er opgjort, og hvilke dele af forbruget der er teknisk undtaget. Vedvarende energikilder inkluderer el med garantiordninger, varme baseret på grøn fjernvarme eller biomasse, samt egne anlæg (f.eks. solceller, biobrændsel).
</t>
        </r>
        <r>
          <rPr>
            <b/>
            <sz val="9"/>
            <color indexed="81"/>
            <rFont val="Tahoma"/>
            <family val="2"/>
          </rPr>
          <t>Dokumentation</t>
        </r>
        <r>
          <rPr>
            <sz val="9"/>
            <color indexed="81"/>
            <rFont val="Tahoma"/>
            <family val="2"/>
          </rPr>
          <t xml:space="preserve">
• Opgørelse over energiforbrug med angivelse af vedvarende andel
• Angivelse og begrundelse for undtagelser (tekniske/kommercielle barrierer)
• Certifikater, kontrakter eller egne måledata
</t>
        </r>
      </text>
    </comment>
    <comment ref="D18" authorId="0" shapeId="0" xr:uid="{4D5C6251-8B98-4D9E-8BCB-C60B4A4536FE}">
      <text>
        <r>
          <rPr>
            <sz val="9"/>
            <color indexed="81"/>
            <rFont val="Tahoma"/>
            <family val="2"/>
          </rPr>
          <t xml:space="preserve">Dette kriterie kræver, at hele virksomhedens mulige energiforbrug på lokationen er dækket af vedvarende energi.
Der må ikke forekomme brug af fossile brændsler i de dele af driften, hvor grønne alternativer findes. Hvis virksomheden har enkelte processer eller udstyr, hvor det ikke er teknisk muligt at benytte vedvarende kilder, kan disse undtages, men de skal tydeligt identificeres og begrundes.
</t>
        </r>
        <r>
          <rPr>
            <b/>
            <sz val="9"/>
            <color indexed="81"/>
            <rFont val="Tahoma"/>
            <family val="2"/>
          </rPr>
          <t>Dokumentation</t>
        </r>
        <r>
          <rPr>
            <sz val="9"/>
            <color indexed="81"/>
            <rFont val="Tahoma"/>
            <family val="2"/>
          </rPr>
          <t xml:space="preserve">
• Dokumentation for 100 % vedvarende andel af muligt energiforbrug
• Liste over eventuelle undtagelser og hvorfor de ikke kan dækkes grønt
• GoO’er, PPA’er, egne produktionsdata, fjernvarmedokumentation mv.
</t>
        </r>
      </text>
    </comment>
    <comment ref="D19" authorId="0" shapeId="0" xr:uid="{CD4A70A9-313D-4BD2-832F-86A74C1EDA0E}">
      <text>
        <r>
          <rPr>
            <sz val="9"/>
            <color indexed="81"/>
            <rFont val="Tahoma"/>
            <family val="2"/>
          </rPr>
          <t xml:space="preserve">Dette kriterie kræver, at virksomheden kan dokumentere oprindelsen af den energi, som hævdes at være grøn, uanset andel.
Dokumentationen skal være knyttet til den mængde energi, virksomheden oplyser som vedvarende, og være baseret på anerkendte mekanismer som:
• Oprindelsesgarantier (GoO/RECS)
• Power Purchase Agreements (PPA’er)
• Energiselskabers dokumentation eller egne måledata
</t>
        </r>
        <r>
          <rPr>
            <b/>
            <sz val="9"/>
            <color indexed="81"/>
            <rFont val="Tahoma"/>
            <family val="2"/>
          </rPr>
          <t>Dokumentation</t>
        </r>
        <r>
          <rPr>
            <sz val="9"/>
            <color indexed="81"/>
            <rFont val="Tahoma"/>
            <family val="2"/>
          </rPr>
          <t xml:space="preserve">
• Kopi af garanti- eller kontraktdokumentation
• Beskrivelse af hvilke energityper og mængder der dækkes
• Sammenhæng til virksomhedens faktiske forbrug
</t>
        </r>
      </text>
    </comment>
    <comment ref="D21" authorId="0" shapeId="0" xr:uid="{EF8CDD93-FAB6-4109-B248-13DFD5E99272}">
      <text>
        <r>
          <rPr>
            <b/>
            <sz val="9"/>
            <color indexed="81"/>
            <rFont val="Tahoma"/>
            <family val="2"/>
          </rPr>
          <t>Mads Maarslet Richter:</t>
        </r>
        <r>
          <rPr>
            <sz val="9"/>
            <color indexed="81"/>
            <rFont val="Tahoma"/>
            <family val="2"/>
          </rPr>
          <t xml:space="preserve">
Dette kriterie kræver, at virksomheden har gyldigt energimærke på sine bygninger, hvor det er relevant og muligt. Det gælder især for opvarmede erhvervsbygninger, som virksomheden ejer og bruger til egne aktiviteter.
Energimærket skal være officielt udstedt og i overensstemmelse med gældende lovgivning. Hvis virksomheden har flere bygninger, forventes der dokumentation for hver bygning, medmindre bygningerne er undtaget fra energimærkningskrav.
Hvis virksomheden kun lejer sig ind, kan dokumentation for bygningens energimærke stadig medtages, men der stilles ikke krav om at lejer skal få udarbejdet mærket selv.
</t>
        </r>
        <r>
          <rPr>
            <b/>
            <sz val="9"/>
            <color indexed="81"/>
            <rFont val="Tahoma"/>
            <family val="2"/>
          </rPr>
          <t>Dokumentation</t>
        </r>
        <r>
          <rPr>
            <sz val="9"/>
            <color indexed="81"/>
            <rFont val="Tahoma"/>
            <family val="2"/>
          </rPr>
          <t xml:space="preserve">
• Kopi/link til gyldigt energimærke for relevante bygninger
• En liste over virksomhedens bygninger, hvoraf det fremgår hvilke der har energimærke og hvorfor eventuelle bygninger er undtaget
• For lejere: energimærke fremskaffet fra udlejer, hvis muligt
</t>
        </r>
      </text>
    </comment>
    <comment ref="D22" authorId="0" shapeId="0" xr:uid="{A8F049C4-DC51-439B-B341-877F96C8C850}">
      <text>
        <r>
          <rPr>
            <b/>
            <sz val="9"/>
            <color indexed="81"/>
            <rFont val="Tahoma"/>
            <family val="2"/>
          </rPr>
          <t>Mads Maarslet Richter:</t>
        </r>
        <r>
          <rPr>
            <sz val="9"/>
            <color indexed="81"/>
            <rFont val="Tahoma"/>
            <family val="2"/>
          </rPr>
          <t xml:space="preserve">
Dette kriterie kræver, at størstedelen af virksomhedens ejede bygninger, som er omfattet af lovkrav om energimærkning, har energimærke B eller bedre.
Kun bygninger, der er opvarmede og dermed er omfattet af energimærkningspligten, tæller med i vurderingen. Lejede bygninger er undtaget. Med størstedelen menes mere end 50 % af det samlede opvarmede areal i virksomhedens relevante ejede bygninger.
</t>
        </r>
        <r>
          <rPr>
            <b/>
            <sz val="9"/>
            <color indexed="81"/>
            <rFont val="Tahoma"/>
            <family val="2"/>
          </rPr>
          <t>Dokumentation</t>
        </r>
        <r>
          <rPr>
            <sz val="9"/>
            <color indexed="81"/>
            <rFont val="Tahoma"/>
            <family val="2"/>
          </rPr>
          <t xml:space="preserve">
• Energimærker for alle relevante ejede bygninger
• Oversigt, der viser fordelingen af energimærker målt i opvarmet areal
• Hvis kriterie E1.3.3 er dokumenteret, er dette også tilstrækkelig dokumentation
</t>
        </r>
      </text>
    </comment>
    <comment ref="D23" authorId="0" shapeId="0" xr:uid="{BA6867E5-CBF2-456D-AAF1-6894A5901FDD}">
      <text>
        <r>
          <rPr>
            <b/>
            <sz val="9"/>
            <color indexed="81"/>
            <rFont val="Tahoma"/>
            <family val="2"/>
          </rPr>
          <t>Mads Maarslet Richter:</t>
        </r>
        <r>
          <rPr>
            <sz val="9"/>
            <color indexed="81"/>
            <rFont val="Tahoma"/>
            <family val="2"/>
          </rPr>
          <t xml:space="preserve">
Dette kriterie kræver, at størstedelen af virksomhedens ejede bygninger, som er omfattet af lovkrav om energimærkning, har energimærke A2010 eller bedre.
Kun bygninger, der er opvarmede og dermed er omfattet af energimærkningspligten, tæller med i vurderingen. Lejede bygninger er undtaget. Med størstedelen menes mere end 50 % af det samlede opvarmede areal i virksomhedens relevante ejede bygninger.
</t>
        </r>
        <r>
          <rPr>
            <b/>
            <sz val="9"/>
            <color indexed="81"/>
            <rFont val="Tahoma"/>
            <family val="2"/>
          </rPr>
          <t>Dokumentation</t>
        </r>
        <r>
          <rPr>
            <sz val="9"/>
            <color indexed="81"/>
            <rFont val="Tahoma"/>
            <family val="2"/>
          </rPr>
          <t xml:space="preserve">
• Energimærker for alle relevante ejede bygninger
• Oversigt, der viser fordelingen af energimærker målt i opvarmet areal
• Hvis kriterie E1.3.4 er dokumenteret, er dette også tilstrækkelig dokumentation
</t>
        </r>
      </text>
    </comment>
    <comment ref="D24" authorId="0" shapeId="0" xr:uid="{EF49499B-3C70-4146-9F12-8BBC088ED335}">
      <text>
        <r>
          <rPr>
            <b/>
            <sz val="9"/>
            <color indexed="81"/>
            <rFont val="Tahoma"/>
            <family val="2"/>
          </rPr>
          <t>Mads Maarslet Richter:</t>
        </r>
        <r>
          <rPr>
            <sz val="9"/>
            <color indexed="81"/>
            <rFont val="Tahoma"/>
            <family val="2"/>
          </rPr>
          <t xml:space="preserve">
Dette kriterie kræver, at størstedelen af virksomhedens ejede bygninger, som er omfattet af lovkrav om energimærkning, har energimærke A2015 eller bedre.
Kun bygninger, der er opvarmede og dermed omfattet af energimærkningspligten, tæller med i vurderingen. Lejede bygninger er undtaget. Med størstedelen menes mere end 50 % af det samlede opvarmede areal i virksomhedens relevante ejede bygninger.
</t>
        </r>
        <r>
          <rPr>
            <b/>
            <sz val="9"/>
            <color indexed="81"/>
            <rFont val="Tahoma"/>
            <family val="2"/>
          </rPr>
          <t>Dokumentation</t>
        </r>
        <r>
          <rPr>
            <sz val="9"/>
            <color indexed="81"/>
            <rFont val="Tahoma"/>
            <family val="2"/>
          </rPr>
          <t xml:space="preserve">
• Energimærker for alle relevante ejede bygninger
• Oversigt, der viser fordelingen af energimærker målt i opvarmet areal
• Hvis kriterie E1.3.5 er dokumenteret, er dette også tilstrækkelig dokumentation
</t>
        </r>
      </text>
    </comment>
    <comment ref="D25" authorId="0" shapeId="0" xr:uid="{5DE1F665-6056-4F83-A849-3BF9DF8A19E3}">
      <text>
        <r>
          <rPr>
            <b/>
            <sz val="9"/>
            <color indexed="81"/>
            <rFont val="Tahoma"/>
            <family val="2"/>
          </rPr>
          <t>Mads Maarslet Richter:</t>
        </r>
        <r>
          <rPr>
            <sz val="9"/>
            <color indexed="81"/>
            <rFont val="Tahoma"/>
            <family val="2"/>
          </rPr>
          <t xml:space="preserve">
Dette kriterie kræver, at størstedelen af virksomhedens ejede bygninger, som er omfattet af lovkrav om energimærkning, har energimærke A2020.
Kun bygninger, der er opvarmede og dermed omfattet af energimærkningspligten, tæller med i vurderingen. Lejede bygninger er undtaget. Med størstedelen menes mere end 50 % af det samlede opvarmede areal i virksomhedens relevante ejede bygninger.
</t>
        </r>
        <r>
          <rPr>
            <b/>
            <sz val="9"/>
            <color indexed="81"/>
            <rFont val="Tahoma"/>
            <family val="2"/>
          </rPr>
          <t>Dokumentation</t>
        </r>
        <r>
          <rPr>
            <sz val="9"/>
            <color indexed="81"/>
            <rFont val="Tahoma"/>
            <family val="2"/>
          </rPr>
          <t xml:space="preserve">
• Energimærker for alle relevante ejede bygninger
• Oversigt, der viser fordelingen af energimærker målt i opvarmet areal
</t>
        </r>
      </text>
    </comment>
    <comment ref="D28" authorId="0" shapeId="0" xr:uid="{9EF5EAB3-4543-4D26-B483-426B85E66C39}">
      <text>
        <r>
          <rPr>
            <b/>
            <sz val="9"/>
            <color indexed="81"/>
            <rFont val="Tahoma"/>
            <family val="2"/>
          </rPr>
          <t>Mads Maarslet Richter:</t>
        </r>
        <r>
          <rPr>
            <sz val="9"/>
            <color indexed="81"/>
            <rFont val="Tahoma"/>
            <family val="2"/>
          </rPr>
          <t xml:space="preserve">
For at opfylde dette kriterie kræver det, at virksomheden har vurderet og kortlagt mulige forureningsrisici knyttet til deres aktiviteter. Dette omfatter en vurdering af potentielle forureninger i følgende områder:
• Luft
• Vand
• Jord
• Levende organismer og fødevareressourcer
• Problematiske stoffer
• Særligt problematiske stoffer
• Mikroplast
Virksomheden skal have gennemført en systematisk risikovurdering, der identificerer, om deres operationer medfører forureningsrisici i disse områder, og i så fald, hvilken type forurening der kan være tale om.
</t>
        </r>
        <r>
          <rPr>
            <b/>
            <sz val="9"/>
            <color indexed="81"/>
            <rFont val="Tahoma"/>
            <family val="2"/>
          </rPr>
          <t>Dokumentation</t>
        </r>
        <r>
          <rPr>
            <sz val="9"/>
            <color indexed="81"/>
            <rFont val="Tahoma"/>
            <family val="2"/>
          </rPr>
          <t xml:space="preserve">
• Rapport, der viser kortlægningen af forureningsrisici
• Beskrivelse af de identificerede risici og relevante forureningsområder
</t>
        </r>
      </text>
    </comment>
    <comment ref="D29" authorId="0" shapeId="0" xr:uid="{DDB3EBA6-F3E4-4C42-9B22-83A7E5766644}">
      <text>
        <r>
          <rPr>
            <b/>
            <sz val="9"/>
            <color indexed="81"/>
            <rFont val="Tahoma"/>
            <family val="2"/>
          </rPr>
          <t>Mads Maarslet Richter:</t>
        </r>
        <r>
          <rPr>
            <sz val="9"/>
            <color indexed="81"/>
            <rFont val="Tahoma"/>
            <family val="2"/>
          </rPr>
          <t xml:space="preserve">
Dette kriterie kræver, at virksomheden har en skriftlig politik, der beskriver, hvordan virksomheden forholder sig til og håndterer forureningsrisici forbundet med dens aktiviteter. Politikken skal tage udgangspunkt i virksomhedens kortlægning af forureningsrisici (jf. E2.1.1) og vise, at virksomheden er bevidst om sine potentielle påvirkninger på miljøet.
Politikken skal indeholde:
• En redegørelse for hvilke typer forurening virksomheden er eksponeret for
• Hvordan virksomheden arbejder for at minimere eller undgå disse forureninger
• En forpligtelse til løbende at holde sig opdateret på potentielle nye forureningsområder og justere politikken ved ændringer i aktiviteter, materialer eller lovgivning
</t>
        </r>
        <r>
          <rPr>
            <b/>
            <sz val="9"/>
            <color indexed="81"/>
            <rFont val="Tahoma"/>
            <family val="2"/>
          </rPr>
          <t>Dokumentation</t>
        </r>
        <r>
          <rPr>
            <sz val="9"/>
            <color indexed="81"/>
            <rFont val="Tahoma"/>
            <family val="2"/>
          </rPr>
          <t xml:space="preserve">
• Vedhæftet eller link til en nedskreven forureningspolitik
• Dokumentation for at politikken er kendt blandt ledelse og relevante medarbejdere (f.eks. via kommunikation eller oplæring)
</t>
        </r>
      </text>
    </comment>
    <comment ref="D30" authorId="0" shapeId="0" xr:uid="{04898DEC-9CA1-4899-8DFB-2AA9DB3C7EFA}">
      <text>
        <r>
          <rPr>
            <b/>
            <sz val="9"/>
            <color indexed="81"/>
            <rFont val="Tahoma"/>
            <family val="2"/>
          </rPr>
          <t>Mads Maarslet Richter:</t>
        </r>
        <r>
          <rPr>
            <sz val="9"/>
            <color indexed="81"/>
            <rFont val="Tahoma"/>
            <family val="2"/>
          </rPr>
          <t xml:space="preserve">
Dette kriterie kræver, at virksomheden har opsat konkrete mål for at reducere sin forureningspåvirkning. Målsætningerne kan være både kvalitative og kvantitative og skal tage udgangspunkt i de risici og typer forurening, som virksomheden har identificeret (jf. E2.1.1).
Målene kan f.eks. omfatte:
• Substitution af miljø- eller sundhedsskadelige stoffer med mindre problematiske alternativer
• Reduceret anvendelse eller bedre håndtering af farlige kemikalier
• Reduktion af udledninger til luft, vand og jord
• Indsats mod mikroplast eller affald i fødekæden
• Forbedret affaldshåndtering og affaldsforebyggelse
• Bedre sporing og kontrol af problematiske og særligt problematiske stoffer i værdikæden
• Tættere kontrol med spild og utilsigtede udledninger
</t>
        </r>
        <r>
          <rPr>
            <b/>
            <sz val="9"/>
            <color indexed="81"/>
            <rFont val="Tahoma"/>
            <family val="2"/>
          </rPr>
          <t>Dokumentation</t>
        </r>
        <r>
          <rPr>
            <sz val="9"/>
            <color indexed="81"/>
            <rFont val="Tahoma"/>
            <family val="2"/>
          </rPr>
          <t xml:space="preserve">
• Nedskrevne og daterede målsætninger
• Dokumentation for at målene er kommunikeret internt
</t>
        </r>
      </text>
    </comment>
    <comment ref="D31" authorId="0" shapeId="0" xr:uid="{A77B9534-5A6C-4002-9034-6A28A81A0E6B}">
      <text>
        <r>
          <rPr>
            <b/>
            <sz val="9"/>
            <color indexed="81"/>
            <rFont val="Tahoma"/>
            <family val="2"/>
          </rPr>
          <t>Mads Maarslet Richter:</t>
        </r>
        <r>
          <rPr>
            <sz val="9"/>
            <color indexed="81"/>
            <rFont val="Tahoma"/>
            <family val="2"/>
          </rPr>
          <t xml:space="preserve">
Dette kriterie kræver, at virksomheden har udarbejdet en strategi for, hvordan den konkret vil arbejde for at reducere forurening. Strategien skal tage afsæt i de identificerede forureningsrisici og opstille tiltag, som understøtter virksomhedens mål (jf. E2.1.3).
Strategien bør beskrive:
• Hvordan virksomheden vil identificere og udfase problematiske og særligt problematiske stoffer
• Hvilke processer eller teknologier der skal anvendes til at mindske udledninger
• Hvordan virksomheden vil styrke intern kapacitet til korrekt håndtering af stoffer og affald
• Hvordan nye materialer, leverandører eller teknologier vurderes i forhold til forureningsrisici
• Eventuelle milepæle, prioriteter eller tidsplaner
• Hvordan strategien skal opdateres i takt med nye risici eller viden
</t>
        </r>
        <r>
          <rPr>
            <b/>
            <sz val="9"/>
            <color indexed="81"/>
            <rFont val="Tahoma"/>
            <family val="2"/>
          </rPr>
          <t>Dokumentation</t>
        </r>
        <r>
          <rPr>
            <sz val="9"/>
            <color indexed="81"/>
            <rFont val="Tahoma"/>
            <family val="2"/>
          </rPr>
          <t xml:space="preserve">
• Nedskrevet strategi (enten selvstændigt dokument eller del af miljøpolitik eller handlingsplan)
• Tidsplan, prioriteringer eller konkrete tiltag knyttet til strategien
</t>
        </r>
      </text>
    </comment>
    <comment ref="D33" authorId="0" shapeId="0" xr:uid="{214954F0-2CE4-43EA-968E-9274A3A072E1}">
      <text>
        <r>
          <rPr>
            <b/>
            <sz val="9"/>
            <color indexed="81"/>
            <rFont val="Tahoma"/>
            <family val="2"/>
          </rPr>
          <t>Mads Maarslet Richter:</t>
        </r>
        <r>
          <rPr>
            <sz val="9"/>
            <color indexed="81"/>
            <rFont val="Tahoma"/>
            <family val="2"/>
          </rPr>
          <t xml:space="preserve">
Dette kriterie kræver, at virksomheden registrerer og har overblik over sine luftemissioner, herunder især nitrogenoxider (NOₓ), svovldioxid (SO₂) og partikler (PM). Disse stoffer har stor betydning for luftkvaliteten og folkesundheden og bør derfor overvåges, særligt i virksomheder med forbrændingsprocesser, tung transport, industriproduktion eller lignende aktiviteter.
Registreringen skal omfatte:
• Identifikation af relevante kilder til emissioner i virksomheden
• Kvantificering af emissioner enten gennem målinger, beregninger eller estimater baseret på standardfaktorer
• Minimum en årlig opgørelse
• Hvis emissionerne er ubetydelige (f.eks. for en kontorbaseret virksomhed), skal dette fremgå af en vurdering
Formålet er at skabe gennemsigtighed og grundlag for eventuel reduktion i fremtiden.
</t>
        </r>
        <r>
          <rPr>
            <b/>
            <sz val="9"/>
            <color indexed="81"/>
            <rFont val="Tahoma"/>
            <family val="2"/>
          </rPr>
          <t xml:space="preserve">
Dokumentation</t>
        </r>
        <r>
          <rPr>
            <sz val="9"/>
            <color indexed="81"/>
            <rFont val="Tahoma"/>
            <family val="2"/>
          </rPr>
          <t xml:space="preserve">
• Emissionsopgørelse, f.eks. i form af årsrapport, miljødata eller registreringsskema
• Metode til kvantificering (målinger, beregninger, standardfaktorer mv.)
• Oversigt over kilder til emissioner
• Ved manglende eller ubetydelige emissioner: En vurdering med begrundelse
</t>
        </r>
      </text>
    </comment>
    <comment ref="D34" authorId="0" shapeId="0" xr:uid="{7E020575-6B4E-41E0-98FA-FFAE1F1316F0}">
      <text>
        <r>
          <rPr>
            <b/>
            <sz val="9"/>
            <color indexed="81"/>
            <rFont val="Tahoma"/>
            <family val="2"/>
          </rPr>
          <t>Mads Maarslet Richter:</t>
        </r>
        <r>
          <rPr>
            <sz val="9"/>
            <color indexed="81"/>
            <rFont val="Tahoma"/>
            <family val="2"/>
          </rPr>
          <t xml:space="preserve">
For at opfylde dette kriterie skal virksomheden have fastsat konkrete mål for reduktion af sine luftemissioner – herunder særligt NOₓ, SO₂ og partikler (PM). Målet kan være kvantitativt (f.eks. en procentvis reduktion i udledning over en årrække) eller kvalitativt (f.eks. målsætning om at skifte til emissionsfrie køretøjer eller installere partikelfiltre).
Målene skal tage udgangspunkt i virksomhedens registrerede udledninger (jf. E2.2.1) eller i en begrundet vurdering, hvis emissionerne ikke er kortlagt endnu. Det er også acceptabelt at sætte mål om at få gennemført en kortlægning som første skridt.
Målene skal være:
• Tidsafgrænsede
• Relevante ift. virksomhedens aktiviteter
• Nedskrevne og tilgængelige for ledelse og relevante medarbejdere
</t>
        </r>
        <r>
          <rPr>
            <b/>
            <sz val="9"/>
            <color indexed="81"/>
            <rFont val="Tahoma"/>
            <family val="2"/>
          </rPr>
          <t>Dokumentation</t>
        </r>
        <r>
          <rPr>
            <sz val="9"/>
            <color indexed="81"/>
            <rFont val="Tahoma"/>
            <family val="2"/>
          </rPr>
          <t xml:space="preserve">
• Skriftlig oversigt over målsætninger (internt dokument eller offentliggjort)
• Eventuel kobling til virksomhedens miljøpolitik eller klimamål
• Hvis der ikke er væsentlige emissioner: En skriftlig vurdering med begrundelse og evt. mål om at fastholde det lave niveau
</t>
        </r>
      </text>
    </comment>
    <comment ref="D35" authorId="0" shapeId="0" xr:uid="{1F210949-0FF7-41EC-BD60-6E26824671C5}">
      <text>
        <r>
          <rPr>
            <b/>
            <sz val="9"/>
            <color indexed="81"/>
            <rFont val="Tahoma"/>
            <family val="2"/>
          </rPr>
          <t>Mads Maarslet Richter:</t>
        </r>
        <r>
          <rPr>
            <sz val="9"/>
            <color indexed="81"/>
            <rFont val="Tahoma"/>
            <family val="2"/>
          </rPr>
          <t xml:space="preserve">
For at opfylde dette kriterie skal mindst 50 % af virksomhedens transport være emissionsfri. Det gælder transport ejet, leaset eller direkte kontrolleret af virksomheden, f.eks. firmabiler, varebiler og interne logistikløsninger. Emissionsfri transport dækker over køretøjer og transportformer, der ikke udleder drivhusgasser ved brug, såsom elbiler på grøn strøm, cykler og gående transport.
Kriteriet kan også opfyldes, hvis virksomheden har en kombination af transportformer, hvor minimum 50 % målt i kilometer er emissionsfri. Det skal fremgå tydeligt, hvordan andelen er beregnet.
</t>
        </r>
        <r>
          <rPr>
            <b/>
            <sz val="9"/>
            <color indexed="81"/>
            <rFont val="Tahoma"/>
            <family val="2"/>
          </rPr>
          <t xml:space="preserve">
Dokumentation</t>
        </r>
        <r>
          <rPr>
            <sz val="9"/>
            <color indexed="81"/>
            <rFont val="Tahoma"/>
            <family val="2"/>
          </rPr>
          <t xml:space="preserve">
• Oversigt over virksomhedens transportmidler, inkl. drivmiddel
• Beregning, der viser at minimum 50 % af transporten er emissionsfri
• Ved anvendelse af eksterne transportører: Dokumentation fra leverandører om emissionsfri andel, hvis virksomheden selv har direkte indflydelse på valget
• Hvis E2.2.4 er opfyldt er dette nok dokumentation til dette kriterie.
</t>
        </r>
      </text>
    </comment>
    <comment ref="D36" authorId="0" shapeId="0" xr:uid="{CD525927-63A4-4F85-8C41-DCA90BB8294F}">
      <text>
        <r>
          <rPr>
            <b/>
            <sz val="9"/>
            <color indexed="81"/>
            <rFont val="Tahoma"/>
            <family val="2"/>
          </rPr>
          <t>Mads Maarslet Richter:</t>
        </r>
        <r>
          <rPr>
            <sz val="9"/>
            <color indexed="81"/>
            <rFont val="Tahoma"/>
            <family val="2"/>
          </rPr>
          <t xml:space="preserve">
For at opfylde dette kriterie skal mindst 90 % af virksomhedens transport være emissionsfri, målt i antal kørte kilometer. Det gælder al transport, som virksomheden selv ejer, leaser eller har direkte kontrol over – herunder firmabiler, varebiler og intern logistik.
Emissionsfri transport defineres som transportmidler, der ikke udleder drivhusgasser ved brug. Det omfatter f.eks. elbiler, cykler, eldrevne fragtløsninger og gående transport. Også elbiler skal være forsynet med strøm fra vedvarende energikilder for at tælle som emissionsfri.
Der skal være en tydelig og dokumenteret beregning, som viser at mindst 90 % af den samlede transport, målt i kilometer, er emissionsfri.
</t>
        </r>
        <r>
          <rPr>
            <b/>
            <sz val="9"/>
            <color indexed="81"/>
            <rFont val="Tahoma"/>
            <family val="2"/>
          </rPr>
          <t>Dokumentation</t>
        </r>
        <r>
          <rPr>
            <sz val="9"/>
            <color indexed="81"/>
            <rFont val="Tahoma"/>
            <family val="2"/>
          </rPr>
          <t xml:space="preserve">
• Oversigt over virksomhedens transportmidler og deres drivmidler
• Opgørelse over kørte kilometer for hver transportform
• Beregning der viser at mindst 90 % af kilometerne er emissionsfri
• Eventuel dokumentation fra flådeadministrator eller transportleverandør
</t>
        </r>
      </text>
    </comment>
    <comment ref="D38" authorId="0" shapeId="0" xr:uid="{0160E88E-7791-40D4-BB01-CB5A1F4840E2}">
      <text>
        <r>
          <rPr>
            <b/>
            <sz val="9"/>
            <color indexed="81"/>
            <rFont val="Tahoma"/>
            <family val="2"/>
          </rPr>
          <t>Mads Maarslet Richter:</t>
        </r>
        <r>
          <rPr>
            <sz val="9"/>
            <color indexed="81"/>
            <rFont val="Tahoma"/>
            <family val="2"/>
          </rPr>
          <t xml:space="preserve">
For at opfylde dette kriterie skal virksomheden kunne dokumentere, hvordan den håndterer risikoen for vandforurening fra sine aktiviteter. Det gælder både for:
• Spildevand fra drift og produktion
• Udledning eller afledning af stoffer til vandmiljøet
• Forurening af regnvand, grundvand og overfladevand
Virksomheden skal have dokumentation for, at udledninger sker kontrolleret og lovligt, og at der er taget stilling til forureningsrisici, f.eks. fra kemikalier, næringsstoffer, mikroplast, tungmetaller eller olieprodukter. Hvis der anvendes stoffer med særligt skadelige egenskaber, skal der være taget stilling til opsamling, rensning eller substitution.
</t>
        </r>
        <r>
          <rPr>
            <b/>
            <sz val="9"/>
            <color indexed="81"/>
            <rFont val="Tahoma"/>
            <family val="2"/>
          </rPr>
          <t>Dokumentation</t>
        </r>
        <r>
          <rPr>
            <sz val="9"/>
            <color indexed="81"/>
            <rFont val="Tahoma"/>
            <family val="2"/>
          </rPr>
          <t xml:space="preserve">
• Beskrivelse af spildevands- og afløbssystemer
• Eventuelle udledningstilladelser eller miljøgodkendelser
• Kortlægning af potentielle kilder til vandforurening
• Procedurer for opsamling og rensning
</t>
        </r>
      </text>
    </comment>
    <comment ref="D39" authorId="0" shapeId="0" xr:uid="{4DC4EECF-0848-4375-B425-59D3B059E2EF}">
      <text>
        <r>
          <rPr>
            <b/>
            <sz val="9"/>
            <color indexed="81"/>
            <rFont val="Tahoma"/>
            <family val="2"/>
          </rPr>
          <t>Mads Maarslet Richter:</t>
        </r>
        <r>
          <rPr>
            <sz val="9"/>
            <color indexed="81"/>
            <rFont val="Tahoma"/>
            <family val="2"/>
          </rPr>
          <t xml:space="preserve">
For at opfylde dette kriterie skal virksomheden sikre, at mindst 50 % af det spildevand, der genereres i driften, bliver renset på en effektiv og miljøvenlig måde. Dette gælder for både sanitært spildevand og procesvand, hvis relevant.
Rensningen skal enten ske via offentlige rensningsanlæg eller ved virksomhedens egen rensning, og det skal dokumenteres, at spildevandet behandles på en måde, der minimerer forurening af vandmiljøet. Hvis virksomheden ikke har direkte kontrol over rensningen (f.eks. ved at bruge eksterne rensningsanlæg), skal der være dokumentation for, at spildevandet bliver håndteret i overensstemmelse med miljøkravene.
</t>
        </r>
        <r>
          <rPr>
            <b/>
            <sz val="9"/>
            <color indexed="81"/>
            <rFont val="Tahoma"/>
            <family val="2"/>
          </rPr>
          <t>Dokumentation</t>
        </r>
        <r>
          <rPr>
            <sz val="9"/>
            <color indexed="81"/>
            <rFont val="Tahoma"/>
            <family val="2"/>
          </rPr>
          <t xml:space="preserve">
• Opgørelse af spildevandsmængder og rensningens andel
• Aftaler med rensningsanlæg eller dokumentation for virksomhedens egen rensning
• Dokumentation for overholdelse af relevante grænseværdier og normer
• Hvis E2.3.3 er opfyldt er dette nok dokumentation til dette kriterie.
</t>
        </r>
      </text>
    </comment>
    <comment ref="D40" authorId="0" shapeId="0" xr:uid="{5E13A9E6-7AA2-4ED7-81BC-911E2C747383}">
      <text>
        <r>
          <rPr>
            <b/>
            <sz val="9"/>
            <color indexed="81"/>
            <rFont val="Tahoma"/>
            <family val="2"/>
          </rPr>
          <t>Mads Maarslet Richter:</t>
        </r>
        <r>
          <rPr>
            <sz val="9"/>
            <color indexed="81"/>
            <rFont val="Tahoma"/>
            <family val="2"/>
          </rPr>
          <t xml:space="preserve">
For at opfylde dette kriterie skal virksomheden sikre, at 100 % af det spildevand, der genereres i driften, bliver renset, inden det ledes ud i det offentlige kloaksystem, rensningsanlæg eller i naturen. Dette inkluderer både sanitært spildevand og procesvand, hvis relevant.
Rensningen skal være effektiv og forebygge forurening af vandmiljøet. Virksomheden skal kunne dokumentere, at det spildevand, der udledes, overholder de lovgivne krav til kvalitet og mængde. Hvis virksomheden anvender ekstern rensning, skal der være dokumentation for, at rensningen lever op til kravene. Hvis virksomheden rensede spildevandet internt, skal der være dokumentation for, at det lever op til de nødvendige miljøstandarder.
</t>
        </r>
        <r>
          <rPr>
            <b/>
            <sz val="9"/>
            <color indexed="81"/>
            <rFont val="Tahoma"/>
            <family val="2"/>
          </rPr>
          <t>Dokumentation</t>
        </r>
        <r>
          <rPr>
            <sz val="9"/>
            <color indexed="81"/>
            <rFont val="Tahoma"/>
            <family val="2"/>
          </rPr>
          <t xml:space="preserve">
• Opgørelse af spildevandsmængder og rensningens effektivitet
• Aftaler med rensningsanlæg eller dokumentation for virksomhedens egen rensning
• Målinger af rensningsgrad og dokumentation fra myndigheder
• Dokumentation for, at udledninger overholder miljøkrav og normer
</t>
        </r>
      </text>
    </comment>
    <comment ref="D42" authorId="0" shapeId="0" xr:uid="{69AB9CAC-6C84-413C-A7AE-8A8292915961}">
      <text>
        <r>
          <rPr>
            <b/>
            <sz val="9"/>
            <color indexed="81"/>
            <rFont val="Tahoma"/>
            <family val="2"/>
          </rPr>
          <t>Mads Maarslet Richter:</t>
        </r>
        <r>
          <rPr>
            <sz val="9"/>
            <color indexed="81"/>
            <rFont val="Tahoma"/>
            <family val="2"/>
          </rPr>
          <t xml:space="preserve">
For at opfylde dette kriterie skal virksomheden sikre, at alle forurenende stoffer opbevares på en sikker og forsvarlig måde, der forhindrer forurening af jord og grundvand. Dette omfatter både kemikalier, farlige affaldsprodukter og andre materialer, der kan udgøre en risiko for miljøet, hvis de lækker eller spildes.
Opbevaringen skal ske i overensstemmelse med gældende lovgivning og bedste praksis. Dette inkluderer brug af tætte opbevaringsbeholdere, afskærmning mod lækage, korrekt mærkning af stofferne samt opbevaring på egnet sted, der er beskyttet mod elementer som vand og temperaturændringer, som kunne forværre risikoen for lækage.
</t>
        </r>
        <r>
          <rPr>
            <b/>
            <sz val="9"/>
            <color indexed="81"/>
            <rFont val="Tahoma"/>
            <family val="2"/>
          </rPr>
          <t>Dokumentation</t>
        </r>
        <r>
          <rPr>
            <sz val="9"/>
            <color indexed="81"/>
            <rFont val="Tahoma"/>
            <family val="2"/>
          </rPr>
          <t xml:space="preserve">
• Beskrivelse af opbevaringsmetoder og sikkerhedsforanstaltninger
• Dokumentation for overholdelse af lovgivning og relevante miljøstandarder
• Tjeklister og inspektionsrapporter for opbevaringssteder
• Eventuelle tilladelser fra myndighederne, hvis relevant
</t>
        </r>
      </text>
    </comment>
    <comment ref="D43" authorId="0" shapeId="0" xr:uid="{4EED1B5F-DC31-4654-B6AE-D123AECA631B}">
      <text>
        <r>
          <rPr>
            <b/>
            <sz val="9"/>
            <color indexed="81"/>
            <rFont val="Tahoma"/>
            <family val="2"/>
          </rPr>
          <t>Mads Maarslet Richter:</t>
        </r>
        <r>
          <rPr>
            <sz val="9"/>
            <color indexed="81"/>
            <rFont val="Tahoma"/>
            <family val="2"/>
          </rPr>
          <t xml:space="preserve">
For at opfylde dette kriterie skal virksomheden have en grundig og velfungerende plan for håndtering af spild, der kan føre til jordbundsforurening. Dette inkluderer alle typer forurenende stoffer, der håndteres i virksomhedens aktiviteter. Virksomheden skal være i stand til hurtigt og effektivt at reagere på spild og lækager af farlige materialer for at minimere risikoen for forurening.
Der skal være etableret nødberedskabsprocedurer, der beskriver, hvordan man håndterer spild på arbejdspladsen, hvordan man beskytter miljøet og hvordan man undgår, at forurenende stoffer kommer i jorden. Desuden skal der være udstyr og træning på plads, så medarbejderne er forberedte på at reagere korrekt ved uheld.
</t>
        </r>
        <r>
          <rPr>
            <b/>
            <sz val="9"/>
            <color indexed="81"/>
            <rFont val="Tahoma"/>
            <family val="2"/>
          </rPr>
          <t xml:space="preserve">
Dokumentation</t>
        </r>
        <r>
          <rPr>
            <sz val="9"/>
            <color indexed="81"/>
            <rFont val="Tahoma"/>
            <family val="2"/>
          </rPr>
          <t xml:space="preserve">
• Spildhåndteringsplan, der beskriver procedurer for forebyggelse, håndtering og oprydning af spild
• Nødberedskabsplaner og risikovurderinger for håndtering af forurenende stoffer
• Oplæring af medarbejdere i korrekt spildhåndtering og nødberedskab
• Bevis for, at nødvendigt udstyr til spildhåndtering er til stede og fungerer (f.eks. opsamlingsbakker, absorbenter)
• Rapportering af hændelser og dokumentation for gennemførte øvelser og tests af nødberedskabsplaner
</t>
        </r>
      </text>
    </comment>
    <comment ref="D45" authorId="0" shapeId="0" xr:uid="{139EC0C8-2757-468C-8E53-E86C9ECA3392}">
      <text>
        <r>
          <rPr>
            <b/>
            <sz val="9"/>
            <color indexed="81"/>
            <rFont val="Tahoma"/>
            <family val="2"/>
          </rPr>
          <t>Mads Maarslet Richter:</t>
        </r>
        <r>
          <rPr>
            <sz val="9"/>
            <color indexed="81"/>
            <rFont val="Tahoma"/>
            <family val="2"/>
          </rPr>
          <t xml:space="preserve">
For at opfylde dette kriterie skal virksomheden have en klar strategi og mål for at udfase brugen af skadelige stoffer i deres produkter og processer. Dette indebærer, at virksomheden har vurderet, hvilke stoffer der udgør en risiko for forurening af levende organismer og fødevareressourcer, og at der er fastsat konkrete målsætninger for at reducere eller eliminere brugen af disse stoffer.
Hvis virksomheden ikke anvender nogen skadelige stoffer i deres processer, anses kriteriet som opfyldt uden yderligere dokumentation. Hvis virksomheden derimod bruger stoffer, der kan have en negativ påvirkning på miljøet, skal der være en plan for, hvordan disse stoffer gradvist udfases eller erstattes med mindre farlige alternativer.
</t>
        </r>
        <r>
          <rPr>
            <b/>
            <sz val="9"/>
            <color indexed="81"/>
            <rFont val="Tahoma"/>
            <family val="2"/>
          </rPr>
          <t>Dokumentation</t>
        </r>
        <r>
          <rPr>
            <sz val="9"/>
            <color indexed="81"/>
            <rFont val="Tahoma"/>
            <family val="2"/>
          </rPr>
          <t xml:space="preserve">
• Vurdering af anvendte stoffer og identificering af potentielt skadelige stoffer
• Mål og tidsramme for udfasning af skadelige stoffer
• Beskrivelse af processer og metoder for at finde alternativer til skadelige stoffer
• Dokumentation for, hvordan virksomheden overvåger og evaluerer fremskridt i udfasningen
</t>
        </r>
      </text>
    </comment>
    <comment ref="D47" authorId="0" shapeId="0" xr:uid="{2D211F59-6BAB-4BF3-8A75-A709C3566853}">
      <text>
        <r>
          <rPr>
            <b/>
            <sz val="9"/>
            <color indexed="81"/>
            <rFont val="Tahoma"/>
            <family val="2"/>
          </rPr>
          <t>Mads Maarslet Richter:</t>
        </r>
        <r>
          <rPr>
            <sz val="9"/>
            <color indexed="81"/>
            <rFont val="Tahoma"/>
            <family val="2"/>
          </rPr>
          <t xml:space="preserve">
For at opfylde dette kriterie skal virksomheden have identificeret og dokumenteret, hvilke stoffer i deres produkter og processer, der er omfattet af REACH (Registration, Evaluation, Authorisation, and Restriction of Chemicals) og som er inkluderet på listen over Særligt Stof af Meget Høj Bekymring (SVHC - Substances of Very High Concern). Virksomheden skal kunne dokumentere, at de er opmærksomme på disse stoffer og har taget de nødvendige skridt for at håndtere dem i overensstemmelse med gældende lovgivning.
Identificeringen skal omfatte en systematisk gennemgang af de anvendte kemikalier og materialer, så virksomheden kan vurdere eventuelle risici og tage passende foranstaltninger for at reducere eller eliminere brugen af problematiske stoffer.
</t>
        </r>
        <r>
          <rPr>
            <b/>
            <sz val="9"/>
            <color indexed="81"/>
            <rFont val="Tahoma"/>
            <family val="2"/>
          </rPr>
          <t>Dokumentation</t>
        </r>
        <r>
          <rPr>
            <sz val="9"/>
            <color indexed="81"/>
            <rFont val="Tahoma"/>
            <family val="2"/>
          </rPr>
          <t xml:space="preserve">
• Liste over anvendte stoffer, der er omfattet af REACH og/eller er SVHC-stoffe
r
• Dokumentation for vurdering af risiko for disse stoffer i virksomhedens processer og produkter
</t>
        </r>
      </text>
    </comment>
    <comment ref="D48" authorId="0" shapeId="0" xr:uid="{A1C2485C-CF93-4772-9333-00555535F1B8}">
      <text>
        <r>
          <rPr>
            <b/>
            <sz val="9"/>
            <color indexed="81"/>
            <rFont val="Tahoma"/>
            <family val="2"/>
          </rPr>
          <t>Mads Maarslet Richter:</t>
        </r>
        <r>
          <rPr>
            <sz val="9"/>
            <color indexed="81"/>
            <rFont val="Tahoma"/>
            <family val="2"/>
          </rPr>
          <t xml:space="preserve">
For at opfylde dette kriterie skal virksomheden kunne dokumentere, at mindst 90 % af de anvendte stoffer i deres produkter og processer er ufarlige eller klassificeret som lavrisiko ifølge gældende lovgivning og internationale standarder. Dette indebærer en vurdering af de anvendte stoffer baseret på deres miljøpåvirkning, sundhedsrisici og deres potentiale for at forårsage skade på levende organismer.
Virksomheden skal kunne dokumentere, at de prioriterer anvendelse af mindre skadelige stoffer og arbejder aktivt på at reducere brugen af farlige eller højrisikostoffer, især de stoffer, der er klassificeret som problematiske i henhold til REACH og SVHC-listen.
</t>
        </r>
        <r>
          <rPr>
            <b/>
            <sz val="9"/>
            <color indexed="81"/>
            <rFont val="Tahoma"/>
            <family val="2"/>
          </rPr>
          <t>Dokumentation</t>
        </r>
        <r>
          <rPr>
            <sz val="9"/>
            <color indexed="81"/>
            <rFont val="Tahoma"/>
            <family val="2"/>
          </rPr>
          <t xml:space="preserve">
• Liste over anvendte stoffer og deres risikovurdering
• Dokumentation for, at mindst 90 % af stofferne i virksomhedens produkter og processer er klassificeret som ufarlige eller lavrisiko
• Vurdering af de risici, der er forbundet med de anvendte stoffer, og hvordan virksomheden arbejder på at reducere disse risici
• Bevis for eventuelle foranstaltninger, der er truffet for at udskifte farlige stoffer med lavrisikostoffer
</t>
        </r>
      </text>
    </comment>
    <comment ref="D50" authorId="0" shapeId="0" xr:uid="{3ACEF0AD-CABA-46E0-9E65-06C7516B0051}">
      <text>
        <r>
          <rPr>
            <b/>
            <sz val="9"/>
            <color indexed="81"/>
            <rFont val="Tahoma"/>
            <family val="2"/>
          </rPr>
          <t>Mads Maarslet Richter:</t>
        </r>
        <r>
          <rPr>
            <sz val="9"/>
            <color indexed="81"/>
            <rFont val="Tahoma"/>
            <family val="2"/>
          </rPr>
          <t xml:space="preserve">
Dette kriterie kræver, at virksomheden aktivt arbejder på at reducere anvendelsen af mikroplast i deres produkter og processer. Mikroplast er små plastpartikler, der kan have en negativ indvirkning på miljøet, især i hav- og ferskvandsøkosystemer, samt på dyreliv og mennesker. Virksomheden skal kunne dokumentere, at de har vurderet, om de anvender mikroplast, og at de har implementeret foranstaltninger for at reducere eller eliminere dens brug, hvor det er muligt.
</t>
        </r>
        <r>
          <rPr>
            <b/>
            <sz val="9"/>
            <color indexed="81"/>
            <rFont val="Tahoma"/>
            <family val="2"/>
          </rPr>
          <t>Dokumentation</t>
        </r>
        <r>
          <rPr>
            <sz val="9"/>
            <color indexed="81"/>
            <rFont val="Tahoma"/>
            <family val="2"/>
          </rPr>
          <t xml:space="preserve">
• Vurdering af mikroplast i virksomhedens produkter og processer
• Bevis for, at virksomheden har reduceret eller elimineret brugen af mikroplast i deres produkter og processer
• Eventuelle målsætninger og strategier for yderligere reduktion af mikroplast i fremtiden
</t>
        </r>
      </text>
    </comment>
    <comment ref="D53" authorId="0" shapeId="0" xr:uid="{CAF0201B-F778-4C67-97FF-FBB4689C6102}">
      <text>
        <r>
          <rPr>
            <b/>
            <sz val="9"/>
            <color indexed="81"/>
            <rFont val="Tahoma"/>
            <family val="2"/>
          </rPr>
          <t>Mads Maarslet Richter:</t>
        </r>
        <r>
          <rPr>
            <sz val="9"/>
            <color indexed="81"/>
            <rFont val="Tahoma"/>
            <family val="2"/>
          </rPr>
          <t xml:space="preserve">
For at opfylde dette kriterie skal virksomheden dokumentere sit samlede vandforbrug samt eventuelt vandudtag, f.eks. fra boringer, overfladevand eller regnvand. Det er ikke afgørende, hvordan vandet anvendes, men der skal være overblik over mængder og kilder. Formålet er at sikre, at virksomheden er bevidst om sit vandforbrug og har et grundlag for at arbejde med reduktion eller genanvendelse.
</t>
        </r>
        <r>
          <rPr>
            <b/>
            <sz val="9"/>
            <color indexed="81"/>
            <rFont val="Tahoma"/>
            <family val="2"/>
          </rPr>
          <t>Dokumentation</t>
        </r>
        <r>
          <rPr>
            <sz val="9"/>
            <color indexed="81"/>
            <rFont val="Tahoma"/>
            <family val="2"/>
          </rPr>
          <t xml:space="preserve">
• Opgørelse over vandforbruget (f.eks. fra vandregninger eller interne målinger)
• Oplysning om vandkilder, herunder om der bruges offentligt vand, grundvand, overfladevand, regnvand m.m.
• Eventuelle interne målinger, logninger eller anden overvågning
• Hvis virksomheden udtager vand selv, skal mængde og metode dokumenteres
</t>
        </r>
      </text>
    </comment>
    <comment ref="D54" authorId="0" shapeId="0" xr:uid="{FC11908A-DE7B-4EFD-998C-E39337BE4EEF}">
      <text>
        <r>
          <rPr>
            <b/>
            <sz val="9"/>
            <color indexed="81"/>
            <rFont val="Tahoma"/>
            <family val="2"/>
          </rPr>
          <t>Mads Maarslet Richter:</t>
        </r>
        <r>
          <rPr>
            <sz val="9"/>
            <color indexed="81"/>
            <rFont val="Tahoma"/>
            <family val="2"/>
          </rPr>
          <t xml:space="preserve">
Dette kriterie kræver, at virksomheden har en politik for ansvarlig håndtering af vand. Politikken skal tage højde for vandforbrug, vandudtag samt beskyttelse af vandkilder og havressourcer. Den skal afspejle virksomhedens kendskab til egen påvirkning og forpligtelse til at reducere negativ påvirkning af vandmiljøet. Politikken skal ikke nødvendigvis være en selvstændig vandpolitik, men vandforholdene skal være behandlet i en eksisterende miljø- eller bæredygtighedspolitik. Politikken skal være nedskrevet og gjort tilgængelig for medarbejderne.
</t>
        </r>
        <r>
          <rPr>
            <b/>
            <sz val="9"/>
            <color indexed="81"/>
            <rFont val="Tahoma"/>
            <family val="2"/>
          </rPr>
          <t>Dokumentation</t>
        </r>
        <r>
          <rPr>
            <sz val="9"/>
            <color indexed="81"/>
            <rFont val="Tahoma"/>
            <family val="2"/>
          </rPr>
          <t xml:space="preserve">
• Vedhæftet/link til den nedskrevne politik.
• Bevis for, at politikken er formidlet til medarbejderne
</t>
        </r>
      </text>
    </comment>
    <comment ref="D55" authorId="0" shapeId="0" xr:uid="{50E16B20-711C-411D-8CB4-6C08A2AA2FAE}">
      <text>
        <r>
          <rPr>
            <b/>
            <sz val="9"/>
            <color indexed="81"/>
            <rFont val="Tahoma"/>
            <family val="2"/>
          </rPr>
          <t>Mads Maarslet Richter:</t>
        </r>
        <r>
          <rPr>
            <sz val="9"/>
            <color indexed="81"/>
            <rFont val="Tahoma"/>
            <family val="2"/>
          </rPr>
          <t xml:space="preserve">
Dette kriterie kræver, at virksomheden har opsat mål for enten at reducere sit samlede vandforbrug, reducere vandudtag fra naturressourcer, eller begge dele.
Målene kan være både kvantitative (f.eks. reduktion på 10 % i vandforbrug eller udskiftning af processer med høj vandintensitet) eller kvalitative (f.eks. anvende regnvand til toiletskyl eller stoppe brug af drikkevand til rengøring af udstyr).
Det er ikke et krav, at virksomheden har dokumenteret sit nuværende vandforbrug eller vandudtag, men målene skal være så konkrete, at det er tydeligt, hvad virksomheden stræber efter. Målene kan være kort- eller langsigtede og bør være realistiske og relevante i forhold til virksomhedens aktiviteter og vandforbrug.
</t>
        </r>
        <r>
          <rPr>
            <b/>
            <sz val="9"/>
            <color indexed="81"/>
            <rFont val="Tahoma"/>
            <family val="2"/>
          </rPr>
          <t>Dokumentation</t>
        </r>
        <r>
          <rPr>
            <sz val="9"/>
            <color indexed="81"/>
            <rFont val="Tahoma"/>
            <family val="2"/>
          </rPr>
          <t xml:space="preserve">
• Nedskrevne målsætninger i f.eks. vandpolitik, bæredygtighedsstrategi eller intern handlingsplan
• Målsætningerne skal nævne enten vandforbrug eller vandudtag – eller begge
• Det skal fremgå, hvad virksomheden konkret ønsker at opnå (f.eks. lavere vandforbrug, anvendelse af alternative kilder, genbrug af procesvand)
</t>
        </r>
      </text>
    </comment>
    <comment ref="D56" authorId="0" shapeId="0" xr:uid="{FF79D355-5D3E-4F0D-AFCF-667F9484DB95}">
      <text>
        <r>
          <rPr>
            <b/>
            <sz val="9"/>
            <color indexed="81"/>
            <rFont val="Tahoma"/>
            <family val="2"/>
          </rPr>
          <t>Mads Maarslet Richter:</t>
        </r>
        <r>
          <rPr>
            <sz val="9"/>
            <color indexed="81"/>
            <rFont val="Tahoma"/>
            <family val="2"/>
          </rPr>
          <t xml:space="preserve">
Dette kriterie kræver, at virksomheden har en konkret strategi for, hvordan den vil reducere sit vandforbrug og/eller sit vandudtag. Strategien skal beskrive de tiltag og metoder, virksomheden vil anvende for at opnå sine målsætninger, f.eks. optimering af produktionsprocesser, opsamling og genanvendelse af vand, udskiftning til vandbesparende udstyr eller omlægning til alternative vandkilder som regnvand.
Strategien skal være handlingsorienteret og vise, hvordan virksomheden arbejder hen imod reduktion, også selvom det sker gradvist. Den må gerne være fleksibel og justerbar over tid, men der skal være en tydelig sammenhæng til virksomhedens målsætninger.
</t>
        </r>
        <r>
          <rPr>
            <b/>
            <sz val="9"/>
            <color indexed="81"/>
            <rFont val="Tahoma"/>
            <family val="2"/>
          </rPr>
          <t>Dokumentation</t>
        </r>
        <r>
          <rPr>
            <sz val="9"/>
            <color indexed="81"/>
            <rFont val="Tahoma"/>
            <family val="2"/>
          </rPr>
          <t xml:space="preserve">
• Nedskrevet strategi, handlingsplan eller tilsvarende dokument, der beskriver konkrete tiltag til reduktion af vandforbrug og/eller vandudtag
• Strategien skal nævne, hvordan virksomheden vil opnå sine mål (f.eks. konkrete tiltag, processer, investeringer)
• Der skal være en kobling mellem strategien og virksomhedens vandforbrug eller -udtag
</t>
        </r>
      </text>
    </comment>
    <comment ref="D59" authorId="0" shapeId="0" xr:uid="{0BFBBC59-7252-4051-8254-B6DD8E3232EE}">
      <text>
        <r>
          <rPr>
            <b/>
            <sz val="9"/>
            <color indexed="81"/>
            <rFont val="Tahoma"/>
            <family val="2"/>
          </rPr>
          <t>Mads Maarslet Richter:</t>
        </r>
        <r>
          <rPr>
            <sz val="9"/>
            <color indexed="81"/>
            <rFont val="Tahoma"/>
            <family val="2"/>
          </rPr>
          <t xml:space="preserve">
Dette kriterie kræver, at virksomheden kan dokumentere, hvor meget areal den råder over og anvender til sine aktiviteter. Det gælder både bebyggede og ubebyggede arealer – f.eks. bygninger, parkeringsarealer, produktionsområder og oplagspladser – samt eventuelle arealer med vegetation eller naturindhold.
Arealforbruget skal som minimum opgøres i kvadratmeter og kan med fordel opdeles efter type og anvendelse. Dokumentationen kan bruges som grundlag for vurdering af virksomhedens påvirkning på biodiversitet og jordarealer.
</t>
        </r>
        <r>
          <rPr>
            <b/>
            <sz val="9"/>
            <color indexed="81"/>
            <rFont val="Tahoma"/>
            <family val="2"/>
          </rPr>
          <t>Dokumentation</t>
        </r>
        <r>
          <rPr>
            <sz val="9"/>
            <color indexed="81"/>
            <rFont val="Tahoma"/>
            <family val="2"/>
          </rPr>
          <t xml:space="preserve">
• Plantegninger, situationsplaner eller kort med angivelse af arealstørrelser
• Intern opgørelse over virksomhedens samlede arealforbrug, gerne opdelt efter anvendelsestype
• BBR-data (Bygnings- og Boligregistret)
• Eventuelt GIS-data eller satellitkort, hvis det findes
</t>
        </r>
      </text>
    </comment>
    <comment ref="D60" authorId="0" shapeId="0" xr:uid="{D1C93453-2914-4D69-BA4C-D0B4EDE9A5C2}">
      <text>
        <r>
          <rPr>
            <b/>
            <sz val="9"/>
            <color indexed="81"/>
            <rFont val="Tahoma"/>
            <family val="2"/>
          </rPr>
          <t>Mads Maarslet Richter:</t>
        </r>
        <r>
          <rPr>
            <sz val="9"/>
            <color indexed="81"/>
            <rFont val="Tahoma"/>
            <family val="2"/>
          </rPr>
          <t xml:space="preserve">
Dette kriterie kræver, at virksomheden har identificeret, om deres aktiviteter berører følsomme naturområder, som kan omfatte områder med høj biodiversitet, beskyttede naturområder (som Natura 2000-områder), vådområder, skove og andre områder med sårbare økosystemer. Det er vigtigt, at virksomheden vurderer risikoen for negativ påvirkning af disse områder som følge af deres aktiviteter.
Virksomheden skal kunne dokumentere, hvordan de har identificeret de følsomme områder, og hvilken viden de har om områdets naturværdier. Det kan være, at virksomheden skal foretage en miljøvurdering eller have adgang til relevante kortlægninger og databaser over beskyttede områder.
</t>
        </r>
        <r>
          <rPr>
            <b/>
            <sz val="9"/>
            <color indexed="81"/>
            <rFont val="Tahoma"/>
            <family val="2"/>
          </rPr>
          <t xml:space="preserve">
Dokumentation</t>
        </r>
        <r>
          <rPr>
            <sz val="9"/>
            <color indexed="81"/>
            <rFont val="Tahoma"/>
            <family val="2"/>
          </rPr>
          <t xml:space="preserve">
• Identifikation af relevante følsomme naturområder via kort, databaser eller vurderinger
• Overvejelser om, hvordan virksomhedens aktiviteter kan påvirke disse områder
• Bevis for, at relevante miljøvurderinger eller risikovurderinger er foretaget
• Relevant lovgivning, tilladelser eller eventuelle tilladelseskrav, der knytter sig til påvirkning af disse områder
• Links til relevante databaser eller GIS-kort, hvis de er tilgængelige
</t>
        </r>
      </text>
    </comment>
    <comment ref="D61" authorId="0" shapeId="0" xr:uid="{8778E308-05F9-4D78-A7E9-20A7310F52DA}">
      <text>
        <r>
          <rPr>
            <b/>
            <sz val="9"/>
            <color indexed="81"/>
            <rFont val="Tahoma"/>
            <family val="2"/>
          </rPr>
          <t>Mads Maarslet Richter:</t>
        </r>
        <r>
          <rPr>
            <sz val="9"/>
            <color indexed="81"/>
            <rFont val="Tahoma"/>
            <family val="2"/>
          </rPr>
          <t xml:space="preserve">
Dette kriterie kræver, at virksomheden har implementeret konkrete tiltag for at minimere den negative påvirkning af arealer, som de er ansvarlige for eller påvirker gennem deres aktiviteter. Dette kan omfatte både fysiske tiltag på selve arealet, som forbedring af jordkvalitet eller etablering af grønne områder, samt ændringer i arbejdspraksisser for at reducere arealanvendelsen og fremme mere bæredygtige løsninger.
Virksomheden bør have dokumentation på plads, der viser, hvilke specifikke tiltag de har gennemført for at beskytte eller forbedre biodiversiteten og minimere påvirkningen af de naturlige områder. Det kan også inkludere en vurdering af potentielle konsekvenser af arealanvendelse og en plan for, hvordan de vil reducere disse over tid.
</t>
        </r>
        <r>
          <rPr>
            <b/>
            <sz val="9"/>
            <color indexed="81"/>
            <rFont val="Tahoma"/>
            <family val="2"/>
          </rPr>
          <t>Dokumentation</t>
        </r>
        <r>
          <rPr>
            <sz val="9"/>
            <color indexed="81"/>
            <rFont val="Tahoma"/>
            <family val="2"/>
          </rPr>
          <t xml:space="preserve">
• Plan eller rapport, der beskriver de tiltag, virksomheden har implementeret for at minimere arealpåvirkning
• Fotos, kort eller andre visuelle beviser på ændringer, der er blevet implementeret
• Evnen til at dokumentere konkrete resultater, som f.eks. forbedring af biodiversitet, reduktion af forurening eller arealbeskyttelse
• Overvejelser om de langsigtede konsekvenser af arealpåvirkning, og hvordan disse tiltag bliver overvåget og forbedret
</t>
        </r>
      </text>
    </comment>
    <comment ref="D63" authorId="0" shapeId="0" xr:uid="{3D5202EE-942B-4EAF-B90F-9745F1FB67CD}">
      <text>
        <r>
          <rPr>
            <b/>
            <sz val="9"/>
            <color indexed="81"/>
            <rFont val="Tahoma"/>
            <family val="2"/>
          </rPr>
          <t>Mads Maarslet Richter:</t>
        </r>
        <r>
          <rPr>
            <sz val="9"/>
            <color indexed="81"/>
            <rFont val="Tahoma"/>
            <family val="2"/>
          </rPr>
          <t xml:space="preserve">
Dette kriterie kræver, at virksomheden har vurderet, hvordan deres aktiviteter påvirker den lokale biodiversitet. Vurderingen bør inkludere en analyse af de direkte og indirekte konsekvenser af virksomhedens operationer, herunder påvirkning af planter, dyr og andre organismer i de områder, hvor virksomheden opererer.
Vurderingen skal tage højde for både negative og positive påvirkninger og omfatte relevante arter og økosystemer. Dette kan inkludere aktiviteter som landbrugsproduktion, byggeri, industriudledning eller andre former for arealanvendelse, der kan påvirke biodiversiteten. Det er vigtigt, at virksomheden bruger pålidelige metoder og data til at evaluere deres påvirkning.
</t>
        </r>
        <r>
          <rPr>
            <b/>
            <sz val="9"/>
            <color indexed="81"/>
            <rFont val="Tahoma"/>
            <family val="2"/>
          </rPr>
          <t xml:space="preserve">
Dokumentation</t>
        </r>
        <r>
          <rPr>
            <sz val="9"/>
            <color indexed="81"/>
            <rFont val="Tahoma"/>
            <family val="2"/>
          </rPr>
          <t xml:space="preserve">
• En rapport eller evaluering, der beskriver biodiversitetspåvirkningen af virksomhedens aktiviteter
• Vurdering af specifikke arter og økosystemer, der kan være påvirket
• Anvendte metoder og data for at vurdere påvirkningen
• Overvejelser om både langsigtede og kortsigtede virkninger
</t>
        </r>
      </text>
    </comment>
    <comment ref="D64" authorId="0" shapeId="0" xr:uid="{E41D48BE-A0FA-4BC2-8393-93F9EDEB41CD}">
      <text>
        <r>
          <rPr>
            <b/>
            <sz val="9"/>
            <color indexed="81"/>
            <rFont val="Tahoma"/>
            <family val="2"/>
          </rPr>
          <t>Mads Maarslet Richter:</t>
        </r>
        <r>
          <rPr>
            <sz val="9"/>
            <color indexed="81"/>
            <rFont val="Tahoma"/>
            <family val="2"/>
          </rPr>
          <t xml:space="preserve">
Dette kriterie kræver, at virksomheden aktivt bidrager til at forbedre eller bevare den lokale biodiversitet. Det kan omfatte initiativer som beplantning af træer, etablering af grønne områder, opsætning af biodiversitetsvenlige løsninger (f.eks. fuglehus eller insekthoteller), eller deltagelse i lokale biodiversitetsprojekter.
Virksomheden skal kunne dokumentere de konkrete handlinger, der er blevet udført, samt deres effekter på den lokale biodiversitet. Det er ikke nødvendigt at virksomheden skal have omfattende naturforvaltningsprojekter, men initiativerne bør være målrettet og relevante for virksomhedens aktiviteter og lokaliteten.
</t>
        </r>
        <r>
          <rPr>
            <b/>
            <sz val="9"/>
            <color indexed="81"/>
            <rFont val="Tahoma"/>
            <family val="2"/>
          </rPr>
          <t>Dokumentation</t>
        </r>
        <r>
          <rPr>
            <sz val="9"/>
            <color indexed="81"/>
            <rFont val="Tahoma"/>
            <family val="2"/>
          </rPr>
          <t xml:space="preserve">
• Beviser for gennemførte biodiversitetsinitiativer (f.eks. fotos, rapporter)
• Overvågningsdata for biodiversitet, hvis tilgængeligt, der viser forbedringer
• Information om samarbejder med lokale myndigheder eller organisationer, der arbejder med biodiversitet
• Planer for fremtidige biodiversitetsforbedringer og målsætninger
</t>
        </r>
      </text>
    </comment>
    <comment ref="D65" authorId="0" shapeId="0" xr:uid="{DB366C49-BA71-4FD3-8438-DF1470DAD67D}">
      <text>
        <r>
          <rPr>
            <b/>
            <sz val="9"/>
            <color indexed="81"/>
            <rFont val="Tahoma"/>
            <family val="2"/>
          </rPr>
          <t>Mads Maarslet Richter:</t>
        </r>
        <r>
          <rPr>
            <sz val="9"/>
            <color indexed="81"/>
            <rFont val="Tahoma"/>
            <family val="2"/>
          </rPr>
          <t xml:space="preserve">
Dette kriterie kræver, at virksomheden vurderer, hvordan deres aktiviteter påvirker truede arter og de økosystemtjenester, som de leverer. Økosystemtjenester kan inkludere tjenester som vandrensning, pollinering, jorddannelse og klimaregulering, som er afgørende for opretholdelsen af sund natur og menneskers velfærd.
Virksomheden skal have en vurdering af, hvilke truede arter der kan være påvirket af deres aktiviteter, og hvilke økosystemtjenester der kan blive forringet som følge af deres operationer. Dette kriterie kræver en grundig analyse af de potentielle langsigtede virkninger på miljøet.
</t>
        </r>
        <r>
          <rPr>
            <b/>
            <sz val="9"/>
            <color indexed="81"/>
            <rFont val="Tahoma"/>
            <family val="2"/>
          </rPr>
          <t xml:space="preserve">
Dokumentation</t>
        </r>
        <r>
          <rPr>
            <sz val="9"/>
            <color indexed="81"/>
            <rFont val="Tahoma"/>
            <family val="2"/>
          </rPr>
          <t xml:space="preserve">
• En detaljeret rapport om de truede arter og økosystemtjenester, der kan være påvirket af virksomhedens aktiviteter
• Metoder og data brugt til at vurdere påvirkningen
• Bevis for, hvordan virksomheden tager hensyn til disse faktorer i deres forretningsstrategi
</t>
        </r>
      </text>
    </comment>
    <comment ref="D67" authorId="0" shapeId="0" xr:uid="{261AB005-7511-4560-9B0B-739917BE06BF}">
      <text>
        <r>
          <rPr>
            <b/>
            <sz val="9"/>
            <color indexed="81"/>
            <rFont val="Tahoma"/>
            <family val="2"/>
          </rPr>
          <t>Mads Maarslet Richter:</t>
        </r>
        <r>
          <rPr>
            <sz val="9"/>
            <color indexed="81"/>
            <rFont val="Tahoma"/>
            <family val="2"/>
          </rPr>
          <t xml:space="preserve">
Dette kriterie kræver, at virksomheden har en nedskrevet politik, der adresserer biodiversitet og dens betydning i virksomhedens aktiviteter. Politikken skal demonstrere virksomhedens bevidsthed om, hvordan deres operationer kan påvirke den lokale og globale biodiversitet, og den skal inkludere konkrete tiltag for at minimere negative virkninger.
Politikken kan være en del af en overordnet bæredygtigheds- eller miljøpolitik, men den skal eksplicit omhandle biodiversitet og hvordan virksomheden arbejder med at beskytte og forbedre den. Det er vigtigt, at virksomheden anerkender, hvor de har indflydelse på biodiversiteten, både direkte (f.eks. landbrug, byggeri) og indirekte (f.eks. forsyningskæder), og at de har målsætninger og handlingsplaner for at reducere deres negative indvirkning.
Politikken bør også indeholde en løbende opfølgning på, hvordan biodiversitet på virksomheden påvirkes, samt hvordan man planlægger at forbedre disse forhold fremover.
</t>
        </r>
        <r>
          <rPr>
            <b/>
            <sz val="9"/>
            <color indexed="81"/>
            <rFont val="Tahoma"/>
            <family val="2"/>
          </rPr>
          <t>Dokumentation</t>
        </r>
        <r>
          <rPr>
            <sz val="9"/>
            <color indexed="81"/>
            <rFont val="Tahoma"/>
            <family val="2"/>
          </rPr>
          <t xml:space="preserve">
• En nedskrevet politik, der specifikt adresserer biodiversitet og virksomhedens indvirkning på den.
• Politikken skal være formidlet til relevante medarbejdere og stakeholders.
• Politikken kan være en del af den overordnede bæredygtigheds- eller miljøpolitik, men det skal være tydeligt, at biodiversitet er et særskilt fokusområde.
</t>
        </r>
      </text>
    </comment>
    <comment ref="D68" authorId="0" shapeId="0" xr:uid="{1DB61E44-0434-4FAB-A28A-CF490BF84DA3}">
      <text>
        <r>
          <rPr>
            <b/>
            <sz val="9"/>
            <color indexed="81"/>
            <rFont val="Tahoma"/>
            <family val="2"/>
          </rPr>
          <t>Mads Maarslet Richter:</t>
        </r>
        <r>
          <rPr>
            <sz val="9"/>
            <color indexed="81"/>
            <rFont val="Tahoma"/>
            <family val="2"/>
          </rPr>
          <t xml:space="preserve">
Dette kriterie kræver, at virksomheden har opsat konkrete og målbare målsætninger for biodiversitet. Målsætningerne skal fokusere på at reducere virksomhedens negative indvirkning på biodiversiteten og fremme aktiviteter, der beskytter og forbedrer biodiversiteten både lokalt og globalt.
Målsætningerne kan være både kvantitative (f.eks. at reducere biodiversitetspåvirkningen med 20 % over de næste 5 år) eller kvalitative (f.eks. at samarbejde med lokale aktører for at bevare truede arter). Det er ikke nødvendigt, at virksomheden har opgjort en omfattende baseline for biodiversitet, men målsætningerne skal være realistiske og relevante i forhold til virksomhedens aktiviteter og påvirkning af biodiversiteten.
Målsætningerne skal være langsigtede og tage højde for virksomhedens samlede indvirkning på biodiversiteten. De skal også være dokumenterbare og kunne måles, så virksomheden kan spore sin fremgang over tid.
</t>
        </r>
        <r>
          <rPr>
            <b/>
            <sz val="9"/>
            <color indexed="81"/>
            <rFont val="Tahoma"/>
            <family val="2"/>
          </rPr>
          <t>Dokumentation</t>
        </r>
        <r>
          <rPr>
            <sz val="9"/>
            <color indexed="81"/>
            <rFont val="Tahoma"/>
            <family val="2"/>
          </rPr>
          <t xml:space="preserve">
• Nedskrevne målsætninger, der beskriver konkrete mål for biodiversitet og virksomhedens påvirkning af biodiversiteten.
• Målsætningerne skal være en del af en overordnet strategi for bæredygtighed eller biodiversitet.
• Bevis for, at målsætningerne er realistiske og relevante i forhold til virksomhedens aktiviteter og påvirkning af biodiversiteten.
• Det skal fremgå, hvordan målene vil blive opfyldt (f.eks. med handlingsplaner eller specifikke initiativer).
</t>
        </r>
      </text>
    </comment>
    <comment ref="D69" authorId="0" shapeId="0" xr:uid="{3B8F68B4-3402-4326-90DB-94B4184E02AD}">
      <text>
        <r>
          <rPr>
            <b/>
            <sz val="9"/>
            <color indexed="81"/>
            <rFont val="Tahoma"/>
            <family val="2"/>
          </rPr>
          <t>Mads Maarslet Richter:</t>
        </r>
        <r>
          <rPr>
            <sz val="9"/>
            <color indexed="81"/>
            <rFont val="Tahoma"/>
            <family val="2"/>
          </rPr>
          <t xml:space="preserve">
Dette kriterie kræver, at virksomheden har en dokumenteret strategi for at håndtere og fremme biodiversitet. Strategien skal klart beskrive, hvordan virksomheden adresserer sin indvirkning på biodiversiteten, herunder både de negative og positive effekter. Den skal inkludere konkrete tiltag og handlingsplaner for at beskytte og forbedre biodiversiteten i virksomhedens aktiviteter og værdikæde.
Strategien bør omfatte:
• Identifikation af de vigtigste områder, hvor virksomheden har en indvirkning på biodiversiteten.
• En vurdering af virksomhedens aktiviteter, herunder produktion, indkøb og drift, og hvordan disse kan påvirke biodiversiteten.
• Specifikke tiltag for at minimere skader på biodiversiteten og fremme bevaring af lokale økosystemer og arter.
• Tydelige handlingsplaner og mål for at implementere strategien over tid, med opfølgning og evaluering.
Strategien skal også inkludere eventuelle samarbejder med eksterne parter som lokale myndigheder, NGO’er eller andre organisationer, der arbejder med biodiversitet, for at sikre, at tiltagene er effektive og relevante.
</t>
        </r>
        <r>
          <rPr>
            <b/>
            <sz val="9"/>
            <color indexed="81"/>
            <rFont val="Tahoma"/>
            <family val="2"/>
          </rPr>
          <t>Dokumentation</t>
        </r>
        <r>
          <rPr>
            <sz val="9"/>
            <color indexed="81"/>
            <rFont val="Tahoma"/>
            <family val="2"/>
          </rPr>
          <t xml:space="preserve">
• Dokumenteret strategi for biodiversitet, som beskriver virksomhedens tilgang til at håndtere biodiversitet.
• Strategien skal indeholde handlingsplaner og mål for at beskytte og fremme biodiversitet.
• Bevis for, hvordan strategien implementeres, og hvordan tiltagene følges op (f.eks. ved årlige rapporter, resultater eller konkrete initiativer).
• Bevis for, at strategien er integreret i virksomhedens overordnede bæredygtigheds- eller miljøpolitik.</t>
        </r>
      </text>
    </comment>
    <comment ref="D72" authorId="0" shapeId="0" xr:uid="{E1552449-9D34-43FC-A5BB-C59F62F613C0}">
      <text>
        <r>
          <rPr>
            <b/>
            <sz val="9"/>
            <color indexed="81"/>
            <rFont val="Tahoma"/>
            <family val="2"/>
          </rPr>
          <t>Mads Maarslet Richter:</t>
        </r>
        <r>
          <rPr>
            <sz val="9"/>
            <color indexed="81"/>
            <rFont val="Tahoma"/>
            <family val="2"/>
          </rPr>
          <t xml:space="preserve">
Dette kriterie kræver, at virksomheden har en dokumenteret politik, der beskriver virksomhedens tilgang til cirkulær økonomi og effektiv ressourceanvendelse. Politikken skal inkludere målsætninger for, hvordan virksomheden minimerer affald, maksimerer genanvendelse og genbrug, samt hvordan ressourcer anvendes mere effektivt i hele virksomhedens værdikæde. Politikken skal også adressere, hvordan virksomheden håndterer produkter og materialer i slutningen af deres livscyklus.
Politikken bør dække:
• Hvordan virksomheden arbejder for at fremme cirkulær økonomi i sine processer, produktion og forsyningskæde.
• En plan for at reducere ressourcer, affald og spild.
• Hvordan virksomheden vil øge genanvendelse og genbrug af materialer.
</t>
        </r>
        <r>
          <rPr>
            <b/>
            <sz val="9"/>
            <color indexed="81"/>
            <rFont val="Tahoma"/>
            <family val="2"/>
          </rPr>
          <t>Dokumentation</t>
        </r>
        <r>
          <rPr>
            <sz val="9"/>
            <color indexed="81"/>
            <rFont val="Tahoma"/>
            <family val="2"/>
          </rPr>
          <t xml:space="preserve">
• Dokumenteret politik for cirkulær økonomi og ressourceanvendelse, som beskriver virksomhedens tilgang og mål.
• Bevis for, at politikken er implementeret i virksomhedens praksis og har været kommunikeret til medarbejdere.
</t>
        </r>
      </text>
    </comment>
    <comment ref="D73" authorId="0" shapeId="0" xr:uid="{BB6F8E34-20D1-4F84-9D1D-0E1F839C36D3}">
      <text>
        <r>
          <rPr>
            <b/>
            <sz val="9"/>
            <color indexed="81"/>
            <rFont val="Tahoma"/>
            <family val="2"/>
          </rPr>
          <t>Mads Maarslet Richter:</t>
        </r>
        <r>
          <rPr>
            <sz val="9"/>
            <color indexed="81"/>
            <rFont val="Tahoma"/>
            <family val="2"/>
          </rPr>
          <t xml:space="preserve">
Dette kriterie kræver, at virksomheden har sat mål for at forbedre sin ressourceeffektivitet og fremme cirkularitet i sine aktiviteter. Målene skal være konkrete og kvantificerbare, og de skal tage sigte på at reducere ressourceforbruget, minimere affald og øge andelen af genanvendte materialer.
Målene bør inkludere:
• Reduktion af råmaterialeforbrug.
• Øgning af genanvendelse og genbrug af materialer.
• Forbedring af produkters livscyklus og design for cirkularitet.
Målene kan være kort- eller langsigtede og skal være realistiske i forhold til virksomhedens størrelse og aktiviteter. Det er ikke et krav, at virksomheden allerede har opgjort sit ressourceforbrug, men målene skal være målbare.
</t>
        </r>
        <r>
          <rPr>
            <b/>
            <sz val="9"/>
            <color indexed="81"/>
            <rFont val="Tahoma"/>
            <family val="2"/>
          </rPr>
          <t xml:space="preserve">
Dokumentation</t>
        </r>
        <r>
          <rPr>
            <sz val="9"/>
            <color indexed="81"/>
            <rFont val="Tahoma"/>
            <family val="2"/>
          </rPr>
          <t xml:space="preserve">
• Nedskrevne målsætninger for ressourceeffektivitet og cirkularitet, der beskriver de specifikke mål virksomheden har for ressourceanvendelse og affaldsreduktion.
• Bevis for, hvordan målene skal opnås, samt hvordan de vil blive opfulgt og evalueret.
</t>
        </r>
      </text>
    </comment>
    <comment ref="D74" authorId="0" shapeId="0" xr:uid="{35598B1B-E3B6-433F-9D52-5D320FAE8A70}">
      <text>
        <r>
          <rPr>
            <b/>
            <sz val="9"/>
            <color indexed="81"/>
            <rFont val="Tahoma"/>
            <family val="2"/>
          </rPr>
          <t>Mads Maarslet Richter:</t>
        </r>
        <r>
          <rPr>
            <sz val="9"/>
            <color indexed="81"/>
            <rFont val="Tahoma"/>
            <family val="2"/>
          </rPr>
          <t xml:space="preserve">
Dette kriterie kræver, at virksomheden har en dokumenteret strategi for at implementere og fremme cirkulær økonomi i sine aktiviteter. Strategien skal beskrive, hvordan virksomheden konkret vil arbejde med cirkulære processer og sikre effektiv ressourceudnyttelse, herunder hvordan de vil optimere deres forsyningskæde, produktion og affaldshåndtering.
Strategien bør inkludere:
• Planer for at øge produktlevetid og genbrug.
• Taktik for at minimere affald og spild.
• Planer for at implementere produktdesign, der understøtter cirkularitet (f.eks. design for genanvendelse eller reparation).
Strategien skal også tage højde for eventuelle samarbejder med leverandører og kunder for at fremme cirkularitet i hele værdikæden.
</t>
        </r>
        <r>
          <rPr>
            <b/>
            <sz val="9"/>
            <color indexed="81"/>
            <rFont val="Tahoma"/>
            <family val="2"/>
          </rPr>
          <t>Dokumentation</t>
        </r>
        <r>
          <rPr>
            <sz val="9"/>
            <color indexed="81"/>
            <rFont val="Tahoma"/>
            <family val="2"/>
          </rPr>
          <t xml:space="preserve">
• Dokumenteret strategi for cirkulær økonomi, som beskriver tiltag og handlingsplaner for at fremme cirkulær økonomi i virksomhedens aktiviteter.
• Bevis for implementeringen af strategien og konkrete initiativer, der er iværksat for at fremme cirkularitet og ressourceeffektivitet.
</t>
        </r>
      </text>
    </comment>
    <comment ref="D76" authorId="0" shapeId="0" xr:uid="{F28B1009-A9B9-4E5B-983F-77EA40AF4586}">
      <text>
        <r>
          <rPr>
            <b/>
            <sz val="9"/>
            <color indexed="81"/>
            <rFont val="Tahoma"/>
            <family val="2"/>
          </rPr>
          <t>Mads Maarslet Richter:</t>
        </r>
        <r>
          <rPr>
            <sz val="9"/>
            <color indexed="81"/>
            <rFont val="Tahoma"/>
            <family val="2"/>
          </rPr>
          <t xml:space="preserve">
Dette kriterie kræver, at virksomheden dokumenterer mængden af affald, der genereres i forbindelse med dens aktiviteter. Det inkluderer både affald fra produktion, drift og eventuelt fra kontor- og administrationsområder. Virksomheden skal have systemer og processer på plads til at opgøre affaldsmængderne, så de kan rapporteres og analyseres. Dokumentationen skal omfatte mængden af affald pr. affaldstype og kan opgøres i ton eller andet relevant mål (f.eks. m³).
Affaldsmængderne bør opdeles i kategorier som:
• Restaffald
• Genanvendeligt affald (f.eks. papir, metal, plast)
• Farligt affald
• Organisk affald
Det er vigtigt at dokumentere affaldsstrømmene, så virksomheden kan vurdere, hvordan den kan optimere sin affaldshåndtering og reducere affaldsmængderne fremadrettet.
</t>
        </r>
        <r>
          <rPr>
            <b/>
            <sz val="9"/>
            <color indexed="81"/>
            <rFont val="Tahoma"/>
            <family val="2"/>
          </rPr>
          <t>Dokumentation</t>
        </r>
        <r>
          <rPr>
            <sz val="9"/>
            <color indexed="81"/>
            <rFont val="Tahoma"/>
            <family val="2"/>
          </rPr>
          <t xml:space="preserve">
• Regnskab og rapportering af affaldsmængder opdelt efter affaldstype, f.eks. ton eller m³
• Evidence for, at affaldsmængder er blevet opgjort og dokumenteret på en systematisk måde
</t>
        </r>
      </text>
    </comment>
    <comment ref="D77" authorId="0" shapeId="0" xr:uid="{EF7F1F9D-86AF-473D-BA2D-6E1F8BF66711}">
      <text>
        <r>
          <rPr>
            <b/>
            <sz val="9"/>
            <color indexed="81"/>
            <rFont val="Tahoma"/>
            <family val="2"/>
          </rPr>
          <t>Mads Maarslet Richter:</t>
        </r>
        <r>
          <rPr>
            <sz val="9"/>
            <color indexed="81"/>
            <rFont val="Tahoma"/>
            <family val="2"/>
          </rPr>
          <t xml:space="preserve">
Dette kriterie kræver, at virksomheden dokumenterer de specifikke materialer, der udgør affaldet, og at affaldet er opdelt efter materialetype. Dette kan omfatte både faste og flydende materialer og kan inkludere specifik dokumentation for både farligt og ikke-farligt affald. Materialerne skal opgøres i ton eller m³, afhængigt af affaldets karakter.
Virksomheden skal identificere og dokumentere de materialer, der genereres som affald, såsom:
• Plastik
• Papir
• Metal
• Glas
• Elektronisk affald (WEEE)
• Organisk materiale
Det er ikke nødvendigt at opdele hver affaldstype yderligere (f.eks. papir vs. karton), men det skal være klart, hvilke materialer der udgør affaldet, og hvor meget der genereres af hver type.
</t>
        </r>
        <r>
          <rPr>
            <b/>
            <sz val="9"/>
            <color indexed="81"/>
            <rFont val="Tahoma"/>
            <family val="2"/>
          </rPr>
          <t xml:space="preserve">
Dokumentation</t>
        </r>
        <r>
          <rPr>
            <sz val="9"/>
            <color indexed="81"/>
            <rFont val="Tahoma"/>
            <family val="2"/>
          </rPr>
          <t xml:space="preserve">
• Regnskab for affaldsmaterialernes typer, med mængder opgjort i ton eller m³
• Bevis for, at affaldsmaterialerne er dokumenteret og opgjort korrekt i henhold til virksomhedens affaldshåndteringssystem
</t>
        </r>
      </text>
    </comment>
    <comment ref="D78" authorId="0" shapeId="0" xr:uid="{FB0BE6DE-7B78-4D4E-B7F9-DA9D127C01D1}">
      <text>
        <r>
          <rPr>
            <b/>
            <sz val="9"/>
            <color indexed="81"/>
            <rFont val="Tahoma"/>
            <family val="2"/>
          </rPr>
          <t>Mads Maarslet Richter:</t>
        </r>
        <r>
          <rPr>
            <sz val="9"/>
            <color indexed="81"/>
            <rFont val="Tahoma"/>
            <family val="2"/>
          </rPr>
          <t xml:space="preserve">
Dette kriterie kræver, at virksomheden har en nedskrevet politik for affaldshåndtering. Politikken skal klart beskrive, hvordan affald genereres, håndteres, sorteres og bortskaffes på en ansvarlig måde. Det er vigtigt, at virksomheden viser, at den er opmærksom på affaldsproblemstillinger og har taget skridt til at håndtere affald på en bæredygtig og effektiv måde.
Politikken skal dække:
• Affaldsforebyggelse (f.eks. reduktion af affaldsmængder).
• Sortering og opbevaring af affald.
• Sikker og lovlig bortskaffelse af affald.
• Muligheder for genanvendelse og genbrug.
Dokumentationen skal vise, at affaldshåndteringspolitikken er formuleret, kommunikeret til medarbejdere og implementeret i virksomheden.
</t>
        </r>
        <r>
          <rPr>
            <b/>
            <sz val="9"/>
            <color indexed="81"/>
            <rFont val="Tahoma"/>
            <family val="2"/>
          </rPr>
          <t>Dokumentation</t>
        </r>
        <r>
          <rPr>
            <sz val="9"/>
            <color indexed="81"/>
            <rFont val="Tahoma"/>
            <family val="2"/>
          </rPr>
          <t xml:space="preserve">
• Nedskrevet affaldshåndteringspolitik
• Bevis for, at politikken er formidlet til medarbejderne og implementeret i virksomhedens processer
</t>
        </r>
      </text>
    </comment>
    <comment ref="D79" authorId="0" shapeId="0" xr:uid="{298C0E60-5895-4D07-B02E-DC86DF1B46E9}">
      <text>
        <r>
          <rPr>
            <b/>
            <sz val="9"/>
            <color indexed="81"/>
            <rFont val="Tahoma"/>
            <family val="2"/>
          </rPr>
          <t>Mads Maarslet Richter:</t>
        </r>
        <r>
          <rPr>
            <sz val="9"/>
            <color indexed="81"/>
            <rFont val="Tahoma"/>
            <family val="2"/>
          </rPr>
          <t xml:space="preserve">
Dette kriterie kræver, at virksomheden har opsat konkrete mål for reduktion af affald og øget genanvendelse. Målet skal være at reducere affaldsmængderne, både på kort og lang sigt, og at øge andelen af affald, der genanvendes eller genbruges. Målene kan være kvantitative (f.eks. reduktion af affald med 20 % inden for 5 år) eller kvalitative (f.eks. øge genanvendelse af plastaffald).
Virksomheden skal dokumentere, at målene er realistiske og relevante i forhold til dens aktiviteter, og at de er målbare, så fremgangen kan følges.
</t>
        </r>
        <r>
          <rPr>
            <b/>
            <sz val="9"/>
            <color indexed="81"/>
            <rFont val="Tahoma"/>
            <family val="2"/>
          </rPr>
          <t xml:space="preserve">
Dokumentation</t>
        </r>
        <r>
          <rPr>
            <sz val="9"/>
            <color indexed="81"/>
            <rFont val="Tahoma"/>
            <family val="2"/>
          </rPr>
          <t xml:space="preserve">
• Nedskrevne målsætninger for affaldsreduktion og genanvendelse, f.eks. i affaldshåndteringspolitik, bæredygtighedsstrategi eller anden intern plan
</t>
        </r>
      </text>
    </comment>
    <comment ref="D80" authorId="0" shapeId="0" xr:uid="{73D13396-5913-4012-B38D-1E867CAD52A8}">
      <text>
        <r>
          <rPr>
            <b/>
            <sz val="9"/>
            <color indexed="81"/>
            <rFont val="Tahoma"/>
            <family val="2"/>
          </rPr>
          <t>Mads Maarslet Richter:</t>
        </r>
        <r>
          <rPr>
            <sz val="9"/>
            <color indexed="81"/>
            <rFont val="Tahoma"/>
            <family val="2"/>
          </rPr>
          <t xml:space="preserve">
Dette kriterie kræver, at virksomheden har en strategi for, hvordan affald genereres og håndteres gennem virksomhedens aktiviteter. Strategien skal beskrive, hvordan virksomheden vil nå sine mål for affaldsreduktion og genanvendelse, samt hvordan affaldet vil blive behandlet for at sikre, at det håndteres korrekt og effektivt.
Strategien bør inkludere:
• Specifikke initiativer til affaldsreduktion (f.eks. design for at mindske affald, optimering af produktion).
• Tiltag for at øge genanvendelse og genbrug af affald.
• Identifikation af affaldsstrømme og muligheder for at reducere affaldsmængder.
</t>
        </r>
        <r>
          <rPr>
            <b/>
            <sz val="9"/>
            <color indexed="81"/>
            <rFont val="Tahoma"/>
            <family val="2"/>
          </rPr>
          <t xml:space="preserve">
Dokumentation</t>
        </r>
        <r>
          <rPr>
            <sz val="9"/>
            <color indexed="81"/>
            <rFont val="Tahoma"/>
            <family val="2"/>
          </rPr>
          <t xml:space="preserve">
• Nedskrevet strategi for affaldshåndtering
• Bevis for, at strategien er implementeret og følges op på i virksomhedens operationer
</t>
        </r>
      </text>
    </comment>
    <comment ref="D83" authorId="0" shapeId="0" xr:uid="{760C6267-1E98-4C6D-8F16-891097B5C96C}">
      <text>
        <r>
          <rPr>
            <b/>
            <sz val="9"/>
            <color indexed="81"/>
            <rFont val="Tahoma"/>
            <family val="2"/>
          </rPr>
          <t>Mads Maarslet Richter:</t>
        </r>
        <r>
          <rPr>
            <sz val="9"/>
            <color indexed="81"/>
            <rFont val="Tahoma"/>
            <family val="2"/>
          </rPr>
          <t xml:space="preserve">
Dette kriterie kræver, at virksomheden dokumenterer alle arbejdsulykker, der er opstået i forbindelse med arbejdet. Det er nødvendigt at registrere, hvor ofte arbejdsulykker finder sted, og om muligt kategorisere dem efter alvorlighed og type. Dokumentationen skal også inkludere ulykkesfrekvensen, så virksomheden kan følge op på eventuelle mønstre og trends. Dette krav er en del af den frivillige bæredygtighedsrapportering.
Virksomheden skal vise, at de har systemer på plads til at registrere og analysere arbejdsulykker. Det er ikke nødvendigt at undgå arbejdsulykker, men virksomheden skal vise, at de er opmærksomme på sikkerheden og tager ansvar for håndteringen af arbejdsulykker.
</t>
        </r>
        <r>
          <rPr>
            <b/>
            <sz val="9"/>
            <color indexed="81"/>
            <rFont val="Tahoma"/>
            <family val="2"/>
          </rPr>
          <t>Dokumentation</t>
        </r>
        <r>
          <rPr>
            <sz val="9"/>
            <color indexed="81"/>
            <rFont val="Tahoma"/>
            <family val="2"/>
          </rPr>
          <t xml:space="preserve">
• Liste over arbejdsulykker, herunder beskrivelse af hændelsen, dato og alvorlighed
• Ulykkesfrekvens og eventuelle analyser af ulykkesmønstre
</t>
        </r>
      </text>
    </comment>
    <comment ref="D84" authorId="0" shapeId="0" xr:uid="{78524112-F106-4BD0-A3D2-F5E54E3F7233}">
      <text>
        <r>
          <rPr>
            <b/>
            <sz val="9"/>
            <color indexed="81"/>
            <rFont val="Tahoma"/>
            <family val="2"/>
          </rPr>
          <t>Mads Maarslet Richter:</t>
        </r>
        <r>
          <rPr>
            <sz val="9"/>
            <color indexed="81"/>
            <rFont val="Tahoma"/>
            <family val="2"/>
          </rPr>
          <t xml:space="preserve">
Dette kriterie kræver, at virksomheden har en nedskrevet politik for sundhed og sikkerhed, som beskriver, hvordan virksomheden arbejder for at sikre medarbejdernes sundhed og sikkerhed på arbejdspladsen. Politikken kan være en del af en større miljø- eller bæredygtighedspolitik, men den skal indeholde konkrete tiltag og retningslinjer for at sikre et sikkert arbejdsmiljø.
Politikken skal dække:
• Forebyggelse af arbejdsulykker og sundhedsskader.
• Identifikation og håndtering af risici.
• Tiltag for at sikre, at medarbejdere arbejder i et sundt og sikkert miljø.
• Kommunikationsstrategier for sikkerhed og sundhed.
</t>
        </r>
        <r>
          <rPr>
            <b/>
            <sz val="9"/>
            <color indexed="81"/>
            <rFont val="Tahoma"/>
            <family val="2"/>
          </rPr>
          <t>Dokumentation</t>
        </r>
        <r>
          <rPr>
            <sz val="9"/>
            <color indexed="81"/>
            <rFont val="Tahoma"/>
            <family val="2"/>
          </rPr>
          <t xml:space="preserve">
• Nedskrevet politik for sundhed og sikkerhed
• Bevis for, at politikken er formidlet til medarbejderne og er implementeret i arbejdsprocesserne
</t>
        </r>
      </text>
    </comment>
    <comment ref="D85" authorId="0" shapeId="0" xr:uid="{21BE0994-5218-4629-8A2F-4EE742F0F3ED}">
      <text>
        <r>
          <rPr>
            <b/>
            <sz val="9"/>
            <color indexed="81"/>
            <rFont val="Tahoma"/>
            <family val="2"/>
          </rPr>
          <t>Mads Maarslet Richter:</t>
        </r>
        <r>
          <rPr>
            <sz val="9"/>
            <color indexed="81"/>
            <rFont val="Tahoma"/>
            <family val="2"/>
          </rPr>
          <t xml:space="preserve">
Dette kriterie kræver, at virksomheden registrerer arbejdsrelaterede dødsfald, hvis sådanne forekommer. Der er ikke et krav om, at virksomheden ikke må have arbejdsrelaterede dødsfald, men disse skal dokumenteres, og årsagerne skal analyseres. Formålet med dette kriterie er at sikre, at virksomheden tager ansvar for de mest alvorlige hændelser og tager skridt til at forebygge, at sådanne hændelser sker i fremtiden.
</t>
        </r>
        <r>
          <rPr>
            <b/>
            <sz val="9"/>
            <color indexed="81"/>
            <rFont val="Tahoma"/>
            <family val="2"/>
          </rPr>
          <t xml:space="preserve">
Dokumentation</t>
        </r>
        <r>
          <rPr>
            <sz val="9"/>
            <color indexed="81"/>
            <rFont val="Tahoma"/>
            <family val="2"/>
          </rPr>
          <t xml:space="preserve">
• Registrering af arbejdsrelaterede dødsfald, herunder årsag og dato for hændelsen
• Eventuelle analyser eller tiltag, der er blevet iværksat for at forhindre lignende hændelser i fremtiden
</t>
        </r>
      </text>
    </comment>
    <comment ref="D87" authorId="0" shapeId="0" xr:uid="{7C590A95-BBE0-43A0-ACA5-99AC9D157B04}">
      <text>
        <r>
          <rPr>
            <b/>
            <sz val="9"/>
            <color indexed="81"/>
            <rFont val="Tahoma"/>
            <family val="2"/>
          </rPr>
          <t>Mads Maarslet Richter:</t>
        </r>
        <r>
          <rPr>
            <sz val="9"/>
            <color indexed="81"/>
            <rFont val="Tahoma"/>
            <family val="2"/>
          </rPr>
          <t xml:space="preserve">
Dette kriterie kræver, at virksomheden betaler løn, der er i overensstemmelse med gældende lovgivning samt relevante overenskomster eller brancheaftaler. Der er ikke krav om, at virksomheden er dækket af en overenskomst, men lønnen skal som minimum overholde lovens mindstekrav og eventuelle branchepraksisser, hvor det er relevant.
</t>
        </r>
        <r>
          <rPr>
            <b/>
            <sz val="9"/>
            <color indexed="81"/>
            <rFont val="Tahoma"/>
            <family val="2"/>
          </rPr>
          <t>Dokumentation</t>
        </r>
        <r>
          <rPr>
            <sz val="9"/>
            <color indexed="81"/>
            <rFont val="Tahoma"/>
            <family val="2"/>
          </rPr>
          <t xml:space="preserve">
• Interne lønpolitikker, personalehåndbog eller lønsedler, der viser overholdelse af lovgivning
• Hvis relevant: henvisning til gældende overenskomst eller brancheaftale
</t>
        </r>
      </text>
    </comment>
    <comment ref="D88" authorId="0" shapeId="0" xr:uid="{1FF68967-AE26-4D73-AA43-C8D2C84948EE}">
      <text>
        <r>
          <rPr>
            <b/>
            <sz val="9"/>
            <color indexed="81"/>
            <rFont val="Tahoma"/>
            <family val="2"/>
          </rPr>
          <t>Mads Maarslet Richter:</t>
        </r>
        <r>
          <rPr>
            <sz val="9"/>
            <color indexed="81"/>
            <rFont val="Tahoma"/>
            <family val="2"/>
          </rPr>
          <t xml:space="preserve">
Dette kriterie kræver, at virksomheden har et overblik over eventuelle lønforskelle mellem mænd og kvinder i sammenlignelige stillinger. Formålet er at synliggøre, om der eksisterer en kønsbaseret lønforskel, så virksomheden kan arbejde for ligeløn. Det er ikke et krav, at der ikke må være forskelle – men forskellene bør være begrundede og ikke diskriminerende.
</t>
        </r>
        <r>
          <rPr>
            <b/>
            <sz val="9"/>
            <color indexed="81"/>
            <rFont val="Tahoma"/>
            <family val="2"/>
          </rPr>
          <t>Dokumentation</t>
        </r>
        <r>
          <rPr>
            <sz val="9"/>
            <color indexed="81"/>
            <rFont val="Tahoma"/>
            <family val="2"/>
          </rPr>
          <t xml:space="preserve">
• Internt overblik over gennemsnitlig løn for mænd og kvinder i sammenlignelige funktioner
• Notat eller rapport med eventuel analyse og vurdering af lønforskelle
</t>
        </r>
      </text>
    </comment>
    <comment ref="D89" authorId="0" shapeId="0" xr:uid="{9E92BA83-DA82-45C8-8C6F-4528F3B9DA5B}">
      <text>
        <r>
          <rPr>
            <b/>
            <sz val="9"/>
            <color indexed="81"/>
            <rFont val="Tahoma"/>
            <family val="2"/>
          </rPr>
          <t>Mads Maarslet Richter:</t>
        </r>
        <r>
          <rPr>
            <sz val="9"/>
            <color indexed="81"/>
            <rFont val="Tahoma"/>
            <family val="2"/>
          </rPr>
          <t xml:space="preserve">
Dette kriterie kræver, at virksomheden har en strategi eller retningslinjer, der sikrer fair og gennemsigtige løn- og ansættelsesvilkår. Strategien kan være en del af en personalepolitik eller en selvstændig retningslinje og bør tage højde for lige behandling, lønudvikling og gennemsigtighed.
</t>
        </r>
        <r>
          <rPr>
            <b/>
            <sz val="9"/>
            <color indexed="81"/>
            <rFont val="Tahoma"/>
            <family val="2"/>
          </rPr>
          <t xml:space="preserve">
Dokumentation</t>
        </r>
        <r>
          <rPr>
            <sz val="9"/>
            <color indexed="81"/>
            <rFont val="Tahoma"/>
            <family val="2"/>
          </rPr>
          <t xml:space="preserve">
• Nedskrevne retningslinjer for lønfastsættelse, lønudvikling og ansættelsesvilkår
• Oplysning om, hvordan retningslinjerne er kommunikeret til medarbejderne
</t>
        </r>
      </text>
    </comment>
    <comment ref="D90" authorId="0" shapeId="0" xr:uid="{3865B71C-6AD6-42C4-84A3-6F8A3E82A82D}">
      <text>
        <r>
          <rPr>
            <b/>
            <sz val="9"/>
            <color indexed="81"/>
            <rFont val="Tahoma"/>
            <family val="2"/>
          </rPr>
          <t>Mads Maarslet Richter:</t>
        </r>
        <r>
          <rPr>
            <sz val="9"/>
            <color indexed="81"/>
            <rFont val="Tahoma"/>
            <family val="2"/>
          </rPr>
          <t xml:space="preserve">
Dette kriterie kræver, at virksomheden oplyser, om og i hvilket omfang dens ansatte er dækket af kollektive overenskomster. Det er ikke et krav, at alle medarbejdere er dækket – men det skal fremgå, om virksomheden har tegnet overenskomst eller følger en bestemt aftale.
</t>
        </r>
        <r>
          <rPr>
            <b/>
            <sz val="9"/>
            <color indexed="81"/>
            <rFont val="Tahoma"/>
            <family val="2"/>
          </rPr>
          <t>Dokumentation</t>
        </r>
        <r>
          <rPr>
            <sz val="9"/>
            <color indexed="81"/>
            <rFont val="Tahoma"/>
            <family val="2"/>
          </rPr>
          <t xml:space="preserve">
• Oplysning om eventuelle overenskomster, virksomheden er dækket af
• Alternativt: erklæring om, at virksomheden ikke er dækket, men følger anden relevant praksis
</t>
        </r>
      </text>
    </comment>
    <comment ref="D92" authorId="0" shapeId="0" xr:uid="{E75709B1-C402-427D-9CB0-191F19D50870}">
      <text>
        <r>
          <rPr>
            <b/>
            <sz val="9"/>
            <color indexed="81"/>
            <rFont val="Tahoma"/>
            <family val="2"/>
          </rPr>
          <t>Mads Maarslet Richter:</t>
        </r>
        <r>
          <rPr>
            <sz val="9"/>
            <color indexed="81"/>
            <rFont val="Tahoma"/>
            <family val="2"/>
          </rPr>
          <t xml:space="preserve">
Dette kriterie kræver, at virksomheden opgør og dokumenterer, hvor mange timer der i gennemsnit er brugt på uddannelse og kompetenceudvikling pr. medarbejder i den pågældende rapporteringsperiode. Timetallet skal omfatte både interne og eksterne kurser, træning, efteruddannelse og lignende.
</t>
        </r>
        <r>
          <rPr>
            <b/>
            <sz val="9"/>
            <color indexed="81"/>
            <rFont val="Tahoma"/>
            <family val="2"/>
          </rPr>
          <t>Dokumentation</t>
        </r>
        <r>
          <rPr>
            <sz val="9"/>
            <color indexed="81"/>
            <rFont val="Tahoma"/>
            <family val="2"/>
          </rPr>
          <t xml:space="preserve">
• Interne opgørelser eller HR-data over uddannelsestimer fordelt pr. ansat
• Opgørelsen skal inkludere gennemsnit pr. ansat og være kønsopdelt
</t>
        </r>
      </text>
    </comment>
    <comment ref="D93" authorId="0" shapeId="0" xr:uid="{8144E0B6-6FF1-403B-AEEC-12E3D6710A75}">
      <text>
        <r>
          <rPr>
            <b/>
            <sz val="9"/>
            <color indexed="81"/>
            <rFont val="Tahoma"/>
            <family val="2"/>
          </rPr>
          <t>Mads Maarslet Richter:</t>
        </r>
        <r>
          <rPr>
            <sz val="9"/>
            <color indexed="81"/>
            <rFont val="Tahoma"/>
            <family val="2"/>
          </rPr>
          <t xml:space="preserve">
Dette kriterie kræver, at virksomheden viser, hvordan uddannelsestimerne er fordelt mellem forskellige grupper, f.eks. køn, afdelinger eller stillingskategorier. Det primære krav er en kønsopdelt fordeling, som sikrer gennemsigtighed i, om der tilbydes lige muligheder for udvikling.
</t>
        </r>
        <r>
          <rPr>
            <b/>
            <sz val="9"/>
            <color indexed="81"/>
            <rFont val="Tahoma"/>
            <family val="2"/>
          </rPr>
          <t xml:space="preserve">
Dokumentation</t>
        </r>
        <r>
          <rPr>
            <sz val="9"/>
            <color indexed="81"/>
            <rFont val="Tahoma"/>
            <family val="2"/>
          </rPr>
          <t xml:space="preserve">
• Oversigt over fordeling af uddannelsestimer mellem kvinder og mænd
• Eventuelt: yderligere fordeling på tværs af funktioner eller enheder
</t>
        </r>
      </text>
    </comment>
    <comment ref="D94" authorId="0" shapeId="0" xr:uid="{1CBD5E9E-EF2E-4087-9785-7FFE6C0A25EC}">
      <text>
        <r>
          <rPr>
            <b/>
            <sz val="9"/>
            <color indexed="81"/>
            <rFont val="Tahoma"/>
            <family val="2"/>
          </rPr>
          <t>Mads Maarslet Richter:</t>
        </r>
        <r>
          <rPr>
            <sz val="9"/>
            <color indexed="81"/>
            <rFont val="Tahoma"/>
            <family val="2"/>
          </rPr>
          <t xml:space="preserve">
Dette kriterie kræver, at virksomheden har en strategi eller klare retningslinjer for medarbejderudvikling. Strategien bør omhandle, hvordan virksomheden arbejder med kompetenceudvikling, efteruddannelse og intern opkvalificering. Der er ikke krav om konkrete måltal, men der skal være en tydelig retning og hensigt med indsatsen.
</t>
        </r>
        <r>
          <rPr>
            <b/>
            <sz val="9"/>
            <color indexed="81"/>
            <rFont val="Tahoma"/>
            <family val="2"/>
          </rPr>
          <t>Dokumentation</t>
        </r>
        <r>
          <rPr>
            <sz val="9"/>
            <color indexed="81"/>
            <rFont val="Tahoma"/>
            <family val="2"/>
          </rPr>
          <t xml:space="preserve">
• Nedskrevne retningslinjer, strategi eller politik for medarbejderudvikling
• Dokumentet skal vise, hvordan virksomheden prioriterer udvikling og uddannelse af medarbejdere
</t>
        </r>
      </text>
    </comment>
    <comment ref="D96" authorId="0" shapeId="0" xr:uid="{D5A3FF78-E95A-4023-BCF0-482167A2FAA1}">
      <text>
        <r>
          <rPr>
            <b/>
            <sz val="9"/>
            <color indexed="81"/>
            <rFont val="Tahoma"/>
            <family val="2"/>
          </rPr>
          <t>Mads Maarslet Richter:</t>
        </r>
        <r>
          <rPr>
            <sz val="9"/>
            <color indexed="81"/>
            <rFont val="Tahoma"/>
            <family val="2"/>
          </rPr>
          <t xml:space="preserve">
Dette kriterie kræver, at virksomheden har en nedskrevet Code of Conduct og/eller en politik for menneskerettigheder. Politikken skal omfatte centrale emner som børnearbejde, tvangsarbejde, diskrimination og respekt for grundlæggende rettigheder i arbejdsforhold. Det er ikke et krav, at politikken er selvstændig – den kan være en del af en bredere bæredygtigheds- eller personalepolitik – men indholdet skal klart dække menneskerettighedsaspekter.
</t>
        </r>
        <r>
          <rPr>
            <b/>
            <sz val="9"/>
            <color indexed="81"/>
            <rFont val="Tahoma"/>
            <family val="2"/>
          </rPr>
          <t>Dokumentation</t>
        </r>
        <r>
          <rPr>
            <sz val="9"/>
            <color indexed="81"/>
            <rFont val="Tahoma"/>
            <family val="2"/>
          </rPr>
          <t xml:space="preserve">
• Politik eller Code of Conduct, hvor nøgleområder som børnearbejde, tvangsarbejde og diskrimination er adresseret
• Dokumentet skal være skriftligt og tilgængeligt for medarbejdere
</t>
        </r>
      </text>
    </comment>
    <comment ref="D97" authorId="0" shapeId="0" xr:uid="{580EFD6D-9E45-4573-B166-4DF05FA204ED}">
      <text>
        <r>
          <rPr>
            <b/>
            <sz val="9"/>
            <color indexed="81"/>
            <rFont val="Tahoma"/>
            <family val="2"/>
          </rPr>
          <t>Mads Maarslet Richter:</t>
        </r>
        <r>
          <rPr>
            <sz val="9"/>
            <color indexed="81"/>
            <rFont val="Tahoma"/>
            <family val="2"/>
          </rPr>
          <t xml:space="preserve">
Dette kriterie kræver, at virksomheden har en strategi eller praksis for at sikre, at medarbejdere trygt kan rapportere uetisk adfærd, diskrimination, chikane eller andre problemer på arbejdspladsen. Det kan f.eks. ske gennem en whistleblowerordning, en anonym klagemekanisme eller en HR-proces med fortrolige samtaler.
Formålet er at understøtte et etisk arbejdsmiljø og sikre, at eventuelle problemer bliver håndteret korrekt.
</t>
        </r>
        <r>
          <rPr>
            <b/>
            <sz val="9"/>
            <color indexed="81"/>
            <rFont val="Tahoma"/>
            <family val="2"/>
          </rPr>
          <t>Dokumentation</t>
        </r>
        <r>
          <rPr>
            <sz val="9"/>
            <color indexed="81"/>
            <rFont val="Tahoma"/>
            <family val="2"/>
          </rPr>
          <t xml:space="preserve">
• Beskrivelse af klageprocedure eller whistleblowerordning
• Oplysning om, hvordan medarbejdere får adgang til ordningen og hvordan klager håndteres
</t>
        </r>
      </text>
    </comment>
    <comment ref="D98" authorId="0" shapeId="0" xr:uid="{0C1EEB67-DA08-471B-BFC3-CD51B3500E8B}">
      <text>
        <r>
          <rPr>
            <b/>
            <sz val="9"/>
            <color indexed="81"/>
            <rFont val="Tahoma"/>
            <family val="2"/>
          </rPr>
          <t>Mads Maarslet Richter:</t>
        </r>
        <r>
          <rPr>
            <sz val="9"/>
            <color indexed="81"/>
            <rFont val="Tahoma"/>
            <family val="2"/>
          </rPr>
          <t xml:space="preserve">
Dette kriterie kræver, at virksomheden dokumenterer eventuelle tidligere hændelser relateret til overtrædelse af menneskerettigheder eller etisk adfærd – f.eks. sager om diskrimination, chikane eller brud på arbejdsmiljøregler.
Hvis virksomheden ikke har oplevet sådanne hændelser, kan det blot erklæres. Hvis hændelser er forekommet, skal det fremgå, hvordan de er håndteret, og hvilke læringspunkter eller tiltag, der er implementeret efterfølgende.
</t>
        </r>
        <r>
          <rPr>
            <b/>
            <sz val="9"/>
            <color indexed="81"/>
            <rFont val="Tahoma"/>
            <family val="2"/>
          </rPr>
          <t xml:space="preserve">
Dokumentation</t>
        </r>
        <r>
          <rPr>
            <sz val="9"/>
            <color indexed="81"/>
            <rFont val="Tahoma"/>
            <family val="2"/>
          </rPr>
          <t xml:space="preserve">
• Erklæring om fravær eller tilstedeværelse af hændelser
• Hvis relevant: kort beskrivelse af hændelser og de trufne foranstaltninger
</t>
        </r>
      </text>
    </comment>
    <comment ref="D100" authorId="0" shapeId="0" xr:uid="{6AB57ABC-37AF-4612-A86A-3B08BBC8BE7A}">
      <text>
        <r>
          <rPr>
            <b/>
            <sz val="9"/>
            <color indexed="81"/>
            <rFont val="Tahoma"/>
            <family val="2"/>
          </rPr>
          <t>Mads Maarslet Richter:</t>
        </r>
        <r>
          <rPr>
            <sz val="9"/>
            <color indexed="81"/>
            <rFont val="Tahoma"/>
            <family val="2"/>
          </rPr>
          <t xml:space="preserve">
Dette kriterie kræver, at virksomheden dokumenterer det samlede antal ansatte samt fordelingen på forskellige ansættelsesformer, herunder f.eks. fuldtid, deltid, midlertidig og fastansættelse. Formålet er at give et overblik over virksomhedens arbejdsstyrke og fleksibilitetsgrad.
</t>
        </r>
        <r>
          <rPr>
            <b/>
            <sz val="9"/>
            <color indexed="81"/>
            <rFont val="Tahoma"/>
            <family val="2"/>
          </rPr>
          <t xml:space="preserve">
Dokumentation</t>
        </r>
        <r>
          <rPr>
            <sz val="9"/>
            <color indexed="81"/>
            <rFont val="Tahoma"/>
            <family val="2"/>
          </rPr>
          <t xml:space="preserve">
• En opgørelse over det samlede antal ansatte
• Fordeling på ansættelsesformer (f.eks. i skemaform eller som tekst)
• Data skal være opdaterede og gælde for det seneste regnskabsår
</t>
        </r>
      </text>
    </comment>
    <comment ref="D101" authorId="0" shapeId="0" xr:uid="{88B9B6E0-4BEE-4176-87A2-733162FF8529}">
      <text>
        <r>
          <rPr>
            <b/>
            <sz val="9"/>
            <color indexed="81"/>
            <rFont val="Tahoma"/>
            <family val="2"/>
          </rPr>
          <t>Mads Maarslet Richter:</t>
        </r>
        <r>
          <rPr>
            <sz val="9"/>
            <color indexed="81"/>
            <rFont val="Tahoma"/>
            <family val="2"/>
          </rPr>
          <t xml:space="preserve">
Dette kriterie kræver, at virksomheden opgør og dokumenterer kønsfordelingen blandt sine ansatte. Data bør minimum opdeles i mand/kvinde, men andre kønskategorier kan inkluderes, hvis virksomheden har data.
</t>
        </r>
        <r>
          <rPr>
            <b/>
            <sz val="9"/>
            <color indexed="81"/>
            <rFont val="Tahoma"/>
            <family val="2"/>
          </rPr>
          <t xml:space="preserve">
Dokumentation</t>
        </r>
        <r>
          <rPr>
            <sz val="9"/>
            <color indexed="81"/>
            <rFont val="Tahoma"/>
            <family val="2"/>
          </rPr>
          <t xml:space="preserve">
• Kønsfordeling opgjort som andele eller absolutte tal
• Oplysninger kan være opdelt på stillingsniveauer, hvis det er relevant
• Data skal gælde for det seneste regnskabsår
</t>
        </r>
      </text>
    </comment>
    <comment ref="D102" authorId="0" shapeId="0" xr:uid="{9E48A2FB-9174-4D25-A5BF-D7525B6348A2}">
      <text>
        <r>
          <rPr>
            <b/>
            <sz val="9"/>
            <color indexed="81"/>
            <rFont val="Tahoma"/>
            <family val="2"/>
          </rPr>
          <t>Mads Maarslet Richter:</t>
        </r>
        <r>
          <rPr>
            <sz val="9"/>
            <color indexed="81"/>
            <rFont val="Tahoma"/>
            <family val="2"/>
          </rPr>
          <t xml:space="preserve">
Dette kriterie kræver, at virksomheden opgør, hvor mange ansatte den har i hvert land, og hvor mange af dem der har en formel ansættelseskontrakt. Formålet er at sikre gennemsigtighed om juridiske ansættelsesforhold i internationale sammenhænge.
</t>
        </r>
        <r>
          <rPr>
            <b/>
            <sz val="9"/>
            <color indexed="81"/>
            <rFont val="Tahoma"/>
            <family val="2"/>
          </rPr>
          <t>Dokumentation</t>
        </r>
        <r>
          <rPr>
            <sz val="9"/>
            <color indexed="81"/>
            <rFont val="Tahoma"/>
            <family val="2"/>
          </rPr>
          <t xml:space="preserve">
• Opgørelse over antal ansatte pr. land
• Angivelse af hvor mange der har en skriftlig ansættelseskontrakt
• Eventuelle bemærkninger om nationale forskelle kan tilføjes
</t>
        </r>
      </text>
    </comment>
    <comment ref="D103" authorId="0" shapeId="0" xr:uid="{F69C5D23-C8CE-4E91-AD97-417471B53306}">
      <text>
        <r>
          <rPr>
            <b/>
            <sz val="9"/>
            <color indexed="81"/>
            <rFont val="Tahoma"/>
            <family val="2"/>
          </rPr>
          <t>Mads Maarslet Richter:</t>
        </r>
        <r>
          <rPr>
            <sz val="9"/>
            <color indexed="81"/>
            <rFont val="Tahoma"/>
            <family val="2"/>
          </rPr>
          <t xml:space="preserve">
Dette kriterie kræver, at virksomheden dokumenterer sin medarbejderomsætning, dvs. hvor stor en andel af medarbejderne der er fratrådt i løbet af det seneste regnskabsår. Medarbejderomsætning er en indikator for trivsel og fastholdelse og bør opgøres på en ensartet måde.
</t>
        </r>
        <r>
          <rPr>
            <b/>
            <sz val="9"/>
            <color indexed="81"/>
            <rFont val="Tahoma"/>
            <family val="2"/>
          </rPr>
          <t>Dokumentation</t>
        </r>
        <r>
          <rPr>
            <sz val="9"/>
            <color indexed="81"/>
            <rFont val="Tahoma"/>
            <family val="2"/>
          </rPr>
          <t xml:space="preserve">
• Hvis relevant, er medarbejderomsætningen dokumenteret og angivet i procent
• Det skal fremgå, hvilken metode der er anvendt, og hvilke typer af fratrædelser der er medregnet (f.eks. frivillig/ufrivillig)
• Data skal dække det seneste regnskabsår
</t>
        </r>
      </text>
    </comment>
    <comment ref="D105" authorId="0" shapeId="0" xr:uid="{915640A1-2C18-4563-BBFE-0AC5F2E90515}">
      <text>
        <r>
          <rPr>
            <b/>
            <sz val="9"/>
            <color indexed="81"/>
            <rFont val="Tahoma"/>
            <family val="2"/>
          </rPr>
          <t>Mads Maarslet Richter:</t>
        </r>
        <r>
          <rPr>
            <sz val="9"/>
            <color indexed="81"/>
            <rFont val="Tahoma"/>
            <family val="2"/>
          </rPr>
          <t xml:space="preserve">
Dette kriterie kræver, at virksomheden har en nedskrevet politik for arbejdsmiljø, som beskriver, hvordan man arbejder for at sikre medarbejdernes trivsel, sikkerhed og sundhed på arbejdspladsen. Politikken kan være selvstændig eller indgå i en overordnet politik for bæredygtighed, sundhed eller HR.
</t>
        </r>
        <r>
          <rPr>
            <b/>
            <sz val="9"/>
            <color indexed="81"/>
            <rFont val="Tahoma"/>
            <family val="2"/>
          </rPr>
          <t>Dokumentation</t>
        </r>
        <r>
          <rPr>
            <sz val="9"/>
            <color indexed="81"/>
            <rFont val="Tahoma"/>
            <family val="2"/>
          </rPr>
          <t xml:space="preserve">
• En politik for arbejdsmiljø, f.eks. i HR-materiale, bæredygtighedsrapport eller personalehåndbog
• Politikken skal adressere centrale arbejdsmiljøforhold såsom forebyggelse af ulykker, fysisk og psykisk arbejdsmiljø, og medarbejdertrivsel
</t>
        </r>
      </text>
    </comment>
    <comment ref="D106" authorId="0" shapeId="0" xr:uid="{C433BBFC-1E49-4363-A10A-20FC4AA4D1DF}">
      <text>
        <r>
          <rPr>
            <b/>
            <sz val="9"/>
            <color indexed="81"/>
            <rFont val="Tahoma"/>
            <family val="2"/>
          </rPr>
          <t>Mads Maarslet Richter:</t>
        </r>
        <r>
          <rPr>
            <sz val="9"/>
            <color indexed="81"/>
            <rFont val="Tahoma"/>
            <family val="2"/>
          </rPr>
          <t xml:space="preserve">
Dette kriterie kræver, at virksomheden har gennemført en APV, hvis den er forpligtet til det ifølge lovgivningen (normalt hvis der er ansatte udover ejeren). APV’en skal dække både fysiske og psykiske forhold og danne grundlag for eventuelle forbedringstiltag.
</t>
        </r>
        <r>
          <rPr>
            <b/>
            <sz val="9"/>
            <color indexed="81"/>
            <rFont val="Tahoma"/>
            <family val="2"/>
          </rPr>
          <t>Dokumentation</t>
        </r>
        <r>
          <rPr>
            <sz val="9"/>
            <color indexed="81"/>
            <rFont val="Tahoma"/>
            <family val="2"/>
          </rPr>
          <t xml:space="preserve">
• Dato for seneste gennemførte APV
• Kortfattet redegørelse for APV-processen og eventuelle handlinger eller forbedringer som følge heraf
• Hvis APV ikke er gennemført, skal virksomheden begrunde dette (f.eks. for få ansatte)
</t>
        </r>
      </text>
    </comment>
    <comment ref="D107" authorId="0" shapeId="0" xr:uid="{3E9B7687-E1A8-4D45-915F-62BB4A0C6E51}">
      <text>
        <r>
          <rPr>
            <b/>
            <sz val="9"/>
            <color indexed="81"/>
            <rFont val="Tahoma"/>
            <family val="2"/>
          </rPr>
          <t>Mads Maarslet Richter:</t>
        </r>
        <r>
          <rPr>
            <sz val="9"/>
            <color indexed="81"/>
            <rFont val="Tahoma"/>
            <family val="2"/>
          </rPr>
          <t xml:space="preserve">
Dette kriterie kræver, at virksomheden har opsat målsætninger for forbedring af medarbejdernes sundhed og arbejdsmiljø. Målsætningerne kan f.eks. handle om at reducere sygefravær, forbedre ergonomiske forhold, øge trivsel eller sikre bedre balance mellem arbejde og fritid.
</t>
        </r>
        <r>
          <rPr>
            <b/>
            <sz val="9"/>
            <color indexed="81"/>
            <rFont val="Tahoma"/>
            <family val="2"/>
          </rPr>
          <t xml:space="preserve">
Dokumentation</t>
        </r>
        <r>
          <rPr>
            <sz val="9"/>
            <color indexed="81"/>
            <rFont val="Tahoma"/>
            <family val="2"/>
          </rPr>
          <t xml:space="preserve">
• Nedskrevne målsætninger i f.eks. HR-strategi, arbejdsmiljøpolitik eller bæredygtighedsplan
• Målene skal være konkrete og relevante for virksomhedens arbejdsmiljø
</t>
        </r>
      </text>
    </comment>
    <comment ref="D108" authorId="0" shapeId="0" xr:uid="{1BEEA166-A31B-4E3B-880F-1509B4DE8E17}">
      <text>
        <r>
          <rPr>
            <b/>
            <sz val="9"/>
            <color indexed="81"/>
            <rFont val="Tahoma"/>
            <family val="2"/>
          </rPr>
          <t>Mads Maarslet Richter:</t>
        </r>
        <r>
          <rPr>
            <sz val="9"/>
            <color indexed="81"/>
            <rFont val="Tahoma"/>
            <family val="2"/>
          </rPr>
          <t xml:space="preserve">
Dette kriterie kræver, at virksomheden har en strategi eller handlingsplan for, hvordan man løbende vil forbedre arbejdsmiljøet. Strategien skal være systematisk og indeholde overvejelser om både fysiske og psykiske arbejdsmiljøforhold samt tiltag for sundhedsfremme.
</t>
        </r>
        <r>
          <rPr>
            <b/>
            <sz val="9"/>
            <color indexed="81"/>
            <rFont val="Tahoma"/>
            <family val="2"/>
          </rPr>
          <t xml:space="preserve">
Dokumentation</t>
        </r>
        <r>
          <rPr>
            <sz val="9"/>
            <color indexed="81"/>
            <rFont val="Tahoma"/>
            <family val="2"/>
          </rPr>
          <t xml:space="preserve">
• En strategi, plan eller procesbeskrivelse for arbejdsmiljøforbedringer
• Strategien bør inkludere ansvarlige personer, tidsrammer og evalueringsmetoder
• Det skal fremgå, hvordan indsatsen tilpasses virksomhedens behov og udvikles over tid
</t>
        </r>
      </text>
    </comment>
    <comment ref="D111" authorId="0" shapeId="0" xr:uid="{79ECE0A6-ACC5-404A-A883-B2D508600191}">
      <text>
        <r>
          <rPr>
            <b/>
            <sz val="9"/>
            <color indexed="81"/>
            <rFont val="Tahoma"/>
            <family val="2"/>
          </rPr>
          <t>Mads Maarslet Richter:</t>
        </r>
        <r>
          <rPr>
            <sz val="9"/>
            <color indexed="81"/>
            <rFont val="Tahoma"/>
            <family val="2"/>
          </rPr>
          <t xml:space="preserve">
Dette kriterie kræver, at virksomheden har kortlagt sin værdikæde og identificeret de væsentligste aktører, som virksomheden enten direkte eller indirekte påvirker, eller som har væsentlig indflydelse på virksomhedens forretningsdrift. Det gælder især leverandører, underleverandører og samarbejdspartnere, hvor påvirkningen er størst. Kortlægningen skal omfatte både primære og sekundære aktører og tage højde for den geografiske placering, størrelsen på aktøren samt deres specifikke rolle i værdikæden.
En grundig kortlægning giver virksomheden indsigt i, hvor dens største påvirkninger ligger, og hvor der kan være muligheder for at fremme bedre arbejdsforhold og menneskerettighedsstandarder.
</t>
        </r>
        <r>
          <rPr>
            <b/>
            <sz val="9"/>
            <color indexed="81"/>
            <rFont val="Tahoma"/>
            <family val="2"/>
          </rPr>
          <t>Dokumentation</t>
        </r>
        <r>
          <rPr>
            <sz val="9"/>
            <color indexed="81"/>
            <rFont val="Tahoma"/>
            <family val="2"/>
          </rPr>
          <t xml:space="preserve">
• Liste over de væsentligste leverandører og samarbejdspartnere
• Geografisk placering af disse aktører
• Kortlægning af virksomhedens direkte og indirekte indflydelse på aktørerne
</t>
        </r>
      </text>
    </comment>
    <comment ref="D112" authorId="0" shapeId="0" xr:uid="{4555D261-755A-4EAE-B6D5-DF864B2FF4AC}">
      <text>
        <r>
          <rPr>
            <b/>
            <sz val="9"/>
            <color indexed="81"/>
            <rFont val="Tahoma"/>
            <family val="2"/>
          </rPr>
          <t>Mads Maarslet Richter:</t>
        </r>
        <r>
          <rPr>
            <sz val="9"/>
            <color indexed="81"/>
            <rFont val="Tahoma"/>
            <family val="2"/>
          </rPr>
          <t xml:space="preserve">
Dette kriterie kræver, at virksomheden har foretaget en risikovurdering af arbejdsforholdene hos de væsentligste aktører i værdikæden, særligt med fokus på forhold som børnearbejde, tvangsarbejde, brug af uformel arbejdskraft, dårlige arbejdsforhold og manglende arbejdssikkerhed. Risikovurderingen bør være baseret på faktorer som de specifikke lande og brancher, leverandørens størrelse og arbejdsstyrkens sammensætning.
Risikovurderingen skal give virksomheden indsigt i, hvilke arbejdsforhold der udgør de største risici og skabe grundlag for eventuelle forbedringer eller håndtering af disse risici. Det er vigtigt, at vurderingen er løbende og tager højde for ændringer i arbejdsmarkedet og lovgivningen i de berørte områder.
</t>
        </r>
        <r>
          <rPr>
            <b/>
            <sz val="9"/>
            <color indexed="81"/>
            <rFont val="Tahoma"/>
            <family val="2"/>
          </rPr>
          <t>Dokumentation</t>
        </r>
        <r>
          <rPr>
            <sz val="9"/>
            <color indexed="81"/>
            <rFont val="Tahoma"/>
            <family val="2"/>
          </rPr>
          <t xml:space="preserve">
• Risikovurdering af arbejdsforhold hos væsentlige leverandører
• Identifikation af risici som børnearbejde, tvangsarbejde og manglende arbejdssikkerhed
• Handlingsplan for at adressere de højeste risici
</t>
        </r>
      </text>
    </comment>
    <comment ref="D113" authorId="0" shapeId="0" xr:uid="{59A48887-DC2D-49A9-A45E-37C494C44A82}">
      <text>
        <r>
          <rPr>
            <b/>
            <sz val="9"/>
            <color indexed="81"/>
            <rFont val="Tahoma"/>
            <family val="2"/>
          </rPr>
          <t>Mads Maarslet Richter:</t>
        </r>
        <r>
          <rPr>
            <sz val="9"/>
            <color indexed="81"/>
            <rFont val="Tahoma"/>
            <family val="2"/>
          </rPr>
          <t xml:space="preserve">
Dette kriterie kræver, at virksomheden specifikt fokuserer på leverandører i lande og brancher, der historisk har haft problemer med arbejdsforhold og menneskerettigheder. Det gælder især lande med lavere arbejdsstandarder og brancher med høj risiko for misbrug, såsom tekstilproduktion i Sydøstasien, minedrift i Afrika, landbrugssektoren i Sydamerika og elektronikproduktion i Kina. Virksomheden skal tage hensyn til risikohistorik i disse regioner og brancher, når de vurderer deres leverandørers arbejdsforhold.
Fokus på risikolande og -brancher er vigtigt for at sikre, at virksomheden ikke bidrager til eller accepterer dårligere arbejdsforhold i sårbare områder. En målrettet indsats kan hjælpe med at reducere risici og skabe bedre forhold på tværs af værdikæden.
</t>
        </r>
        <r>
          <rPr>
            <b/>
            <sz val="9"/>
            <color indexed="81"/>
            <rFont val="Tahoma"/>
            <family val="2"/>
          </rPr>
          <t>Dokumentation</t>
        </r>
        <r>
          <rPr>
            <sz val="9"/>
            <color indexed="81"/>
            <rFont val="Tahoma"/>
            <family val="2"/>
          </rPr>
          <t xml:space="preserve">
• Identifikation af risikolande og -brancher i virksomhedens værdikæde
• Beskrivelse af risici for arbejdsforhold i disse områder
• Eventuelle foranstaltninger for at håndtere risici i disse områder
</t>
        </r>
      </text>
    </comment>
    <comment ref="D115" authorId="0" shapeId="0" xr:uid="{A47F5050-4CDB-4D40-8210-D0C448305E4B}">
      <text>
        <r>
          <rPr>
            <b/>
            <sz val="9"/>
            <color indexed="81"/>
            <rFont val="Tahoma"/>
            <family val="2"/>
          </rPr>
          <t>Mads Maarslet Richter:</t>
        </r>
        <r>
          <rPr>
            <sz val="9"/>
            <color indexed="81"/>
            <rFont val="Tahoma"/>
            <family val="2"/>
          </rPr>
          <t xml:space="preserve">
Dette kriterie kræver, at virksomheden har en nedskrevet politik, der beskriver dens krav til arbejdsforholdene hos leverandører og samarbejdspartnere. Politikken skal tage stilling til nøgleområder som arbejdstagerrettigheder, arbejdsmiljø, arbejdstid, løn og diskrimination. Det er også vigtigt, at virksomheden indarbejder krav om respekt for menneskerettighederne, herunder forebyggelse af børnearbejde og tvangsarbejde i værdikæden.
Virksomheden skal demonstrere, at den har et aktivt engagement i at sikre, at disse krav overholdes af sine leverandører og samarbejdspartnere. Politikken skal være i overensstemmelse med internationale menneskerettighedsstandarder og gældende lovgivning.
</t>
        </r>
        <r>
          <rPr>
            <b/>
            <sz val="9"/>
            <color indexed="81"/>
            <rFont val="Tahoma"/>
            <family val="2"/>
          </rPr>
          <t>Dokumentation</t>
        </r>
        <r>
          <rPr>
            <sz val="9"/>
            <color indexed="81"/>
            <rFont val="Tahoma"/>
            <family val="2"/>
          </rPr>
          <t xml:space="preserve">
• Nedskrevet politik for arbejdsforhold i værdikæden
• Beskrivelse af virksomhedens krav til leverandørers arbejdsforhold
• Overensstemmelse med internationale menneskerettighedsstandarder
</t>
        </r>
      </text>
    </comment>
    <comment ref="D116" authorId="0" shapeId="0" xr:uid="{B9C77115-60E0-4915-9AD9-B6F5E0CB579C}">
      <text>
        <r>
          <rPr>
            <b/>
            <sz val="9"/>
            <color indexed="81"/>
            <rFont val="Tahoma"/>
            <family val="2"/>
          </rPr>
          <t>Mads Maarslet Richter:</t>
        </r>
        <r>
          <rPr>
            <sz val="9"/>
            <color indexed="81"/>
            <rFont val="Tahoma"/>
            <family val="2"/>
          </rPr>
          <t xml:space="preserve">
Dette kriterie kræver, at virksomheden har en Code of Conduct for leverandører, som beskriver etiske standarder og forventninger til arbejdsforhold, herunder rettighederne for arbejdstagere, miljøpåvirkninger og andre relevante forhold. Code of Conduct’en skal være tydelig og let tilgængelig for alle leverandører, og den skal underskrives eller accepteres af dem, som en forpligtelse til at opretholde de fastsatte standarder.
Virksomheden skal sikre sig, at leverandørerne forstår og implementerer disse etiske retningslinjer i deres arbejdsprocesser. Dette kan omfatte regelmæssige evalueringer og audits for at kontrollere overholdelse.
</t>
        </r>
        <r>
          <rPr>
            <b/>
            <sz val="9"/>
            <color indexed="81"/>
            <rFont val="Tahoma"/>
            <family val="2"/>
          </rPr>
          <t xml:space="preserve">
Dokumentation</t>
        </r>
        <r>
          <rPr>
            <sz val="9"/>
            <color indexed="81"/>
            <rFont val="Tahoma"/>
            <family val="2"/>
          </rPr>
          <t xml:space="preserve">
• Code of Conduct for leverandører
• Bekræftelse fra leverandører om underskrift eller accept af Code of Conduct
• Implementering af kontrol- og evalueringssystemer for overholdelse
</t>
        </r>
      </text>
    </comment>
    <comment ref="D117" authorId="0" shapeId="0" xr:uid="{B02809F7-E29C-4638-B412-B004C1FC58EB}">
      <text>
        <r>
          <rPr>
            <b/>
            <sz val="9"/>
            <color indexed="81"/>
            <rFont val="Tahoma"/>
            <family val="2"/>
          </rPr>
          <t>Mads Maarslet Richter:</t>
        </r>
        <r>
          <rPr>
            <sz val="9"/>
            <color indexed="81"/>
            <rFont val="Tahoma"/>
            <family val="2"/>
          </rPr>
          <t xml:space="preserve">
Dette kriterie kræver, at virksomheden aktivt samarbejder med sine leverandører for at forbedre arbejdsforholdene i værdikæden. Samarbejdet skal fokusere på at identificere områder, hvor forbedringer er nødvendige, og at udvikle handlingsplaner for at håndtere disse udfordringer. Det kan inkludere oplysningsprogrammer, træning af leverandører i arbejdsforhold og sikkerhed, eller endda investering i teknologi og processer, der kan forbedre arbejdsforholdene.
Virksomheden skal kunne dokumentere, hvordan dette samarbejde finder sted, samt hvilke resultater der er opnået. Dette kan også inkludere målsætninger for langsigtede forbedringer og opfølgning på konkrete initiativer.
</t>
        </r>
        <r>
          <rPr>
            <b/>
            <sz val="9"/>
            <color indexed="81"/>
            <rFont val="Tahoma"/>
            <family val="2"/>
          </rPr>
          <t xml:space="preserve">
Dokumentation</t>
        </r>
        <r>
          <rPr>
            <sz val="9"/>
            <color indexed="81"/>
            <rFont val="Tahoma"/>
            <family val="2"/>
          </rPr>
          <t xml:space="preserve">
• Beskrivelse af samarbejde med leverandører om forbedringer
• Eksempler på specifikke forbedringstiltag og deres resultater
• Opfølgning på målsætninger og implementering af initiativer
</t>
        </r>
      </text>
    </comment>
    <comment ref="D119" authorId="0" shapeId="0" xr:uid="{2FA47025-E61D-434C-8DEA-D3270C9E825C}">
      <text>
        <r>
          <rPr>
            <b/>
            <sz val="9"/>
            <color indexed="81"/>
            <rFont val="Tahoma"/>
            <family val="2"/>
          </rPr>
          <t>Mads Maarslet Richter:</t>
        </r>
        <r>
          <rPr>
            <sz val="9"/>
            <color indexed="81"/>
            <rFont val="Tahoma"/>
            <family val="2"/>
          </rPr>
          <t xml:space="preserve">
Dette kriterie kræver, at virksomheden prioriterer samarbejdspartnere og leverandører, som arbejder med certificerede produkter eller standarder. Certificeringerne kan variere afhængigt af branche og produkt – for eksempel FSC, PEFC, Fairtrade, Ø-mærket, Svanemærket, Rainforest Alliance eller tilsvarende tredjepartsanerkendte mærkningsordninger.
Det er ikke et krav, at alle leverandører er certificerede, men virksomheden skal kunne dokumentere, at det er en prioritet – f.eks. gennem politikker, krav i indkøbsstrategier, kontrakter eller udbudsmateriale.
</t>
        </r>
        <r>
          <rPr>
            <b/>
            <sz val="9"/>
            <color indexed="81"/>
            <rFont val="Tahoma"/>
            <family val="2"/>
          </rPr>
          <t xml:space="preserve">
Dokumentation</t>
        </r>
        <r>
          <rPr>
            <sz val="9"/>
            <color indexed="81"/>
            <rFont val="Tahoma"/>
            <family val="2"/>
          </rPr>
          <t xml:space="preserve">
• Indkøbspolitik eller udbudsmateriale med krav om certificeringer
• Oversigt over leverandører med relevante certificeringer
• Interne retningslinjer der prioriterer certificerede produkter
</t>
        </r>
      </text>
    </comment>
    <comment ref="D120" authorId="0" shapeId="0" xr:uid="{F34BA40C-0EBB-461B-B595-17C20EA1287A}">
      <text>
        <r>
          <rPr>
            <b/>
            <sz val="9"/>
            <color indexed="81"/>
            <rFont val="Tahoma"/>
            <family val="2"/>
          </rPr>
          <t>Mads Maarslet Richter:</t>
        </r>
        <r>
          <rPr>
            <sz val="9"/>
            <color indexed="81"/>
            <rFont val="Tahoma"/>
            <family val="2"/>
          </rPr>
          <t xml:space="preserve">
Dette kriterie kræver, at virksomheden har en strategi eller systematik for valg af samarbejdspartnere, hvor ansvarlighed og bæredygtighed vægtes som parametre. Strategien bør angive, hvilke sociale og miljømæssige forhold der vurderes – f.eks. arbejdsforhold, miljøpåvirkning, etik eller certificeringer.
Formålet er at sikre, at virksomhedens samarbejdspartnere lever op til dens værdier og standarder.
</t>
        </r>
        <r>
          <rPr>
            <b/>
            <sz val="9"/>
            <color indexed="81"/>
            <rFont val="Tahoma"/>
            <family val="2"/>
          </rPr>
          <t>Dokumentation</t>
        </r>
        <r>
          <rPr>
            <sz val="9"/>
            <color indexed="81"/>
            <rFont val="Tahoma"/>
            <family val="2"/>
          </rPr>
          <t xml:space="preserve">
• Strategi eller procesbeskrivelse for valg af samarbejdspartnere
• Skabelon eller tjekliste med bæredygtighedskriterier
• Eksempler på valgfravalg eller vurdering baseret på ansvarlighed
</t>
        </r>
      </text>
    </comment>
    <comment ref="D121" authorId="0" shapeId="0" xr:uid="{CC56DCE2-0A9C-4BA4-B16E-F3D3273AB46D}">
      <text>
        <r>
          <rPr>
            <b/>
            <sz val="9"/>
            <color indexed="81"/>
            <rFont val="Tahoma"/>
            <family val="2"/>
          </rPr>
          <t>Mads Maarslet Richter:</t>
        </r>
        <r>
          <rPr>
            <sz val="9"/>
            <color indexed="81"/>
            <rFont val="Tahoma"/>
            <family val="2"/>
          </rPr>
          <t xml:space="preserve">
Dette kriterie kræver, at virksomheden foretager regelmæssige vurderinger af sine samarbejdspartnere for at sikre, at de fortsat lever op til virksomhedens krav til arbejdsforhold, ansvarlighed og bæredygtighed. Vurderingen kan foretages gennem leverandørevalueringer, spørgeskemaer, dialogmøder, audits eller lignende.
Der er ikke krav om en fast metode, men der skal være en praksis for løbende opfølgning, og at mangler følges op med handling.
</t>
        </r>
        <r>
          <rPr>
            <b/>
            <sz val="9"/>
            <color indexed="81"/>
            <rFont val="Tahoma"/>
            <family val="2"/>
          </rPr>
          <t xml:space="preserve">
Dokumentation</t>
        </r>
        <r>
          <rPr>
            <sz val="9"/>
            <color indexed="81"/>
            <rFont val="Tahoma"/>
            <family val="2"/>
          </rPr>
          <t xml:space="preserve">
• Skabelon for leverandørevaluering eller spørgeskema
• Oversigt over seneste vurderinger og opfølgninger
• Procedurer for håndtering af manglende overholdelse
</t>
        </r>
      </text>
    </comment>
    <comment ref="D122" authorId="0" shapeId="0" xr:uid="{993D2719-9C0C-44C3-A0E2-85E65B868019}">
      <text>
        <r>
          <rPr>
            <b/>
            <sz val="9"/>
            <color indexed="81"/>
            <rFont val="Tahoma"/>
            <family val="2"/>
          </rPr>
          <t>Mads Maarslet Richter:</t>
        </r>
        <r>
          <rPr>
            <sz val="9"/>
            <color indexed="81"/>
            <rFont val="Tahoma"/>
            <family val="2"/>
          </rPr>
          <t xml:space="preserve">
Dette kriterie kræver, at over halvdelen af virksomhedens væsentlige samarbejdspartnere arbejder aktivt med ESG og har dokumentation herfor. ESG-dokumentationen kan tage forskellige former – f.eks. bæredygtighedsrapporter, ESG-policy, målsætninger, eller deltagelse i ESG-relaterede programmer.
Det behøver ikke være en fuld ESG-rapport efter ESRS, men virksomheden skal kunne dokumentere, at minimum 50 % af partnerne har relevante ESG-initiativer.
</t>
        </r>
        <r>
          <rPr>
            <b/>
            <sz val="9"/>
            <color indexed="81"/>
            <rFont val="Tahoma"/>
            <family val="2"/>
          </rPr>
          <t>Dokumentation</t>
        </r>
        <r>
          <rPr>
            <sz val="9"/>
            <color indexed="81"/>
            <rFont val="Tahoma"/>
            <family val="2"/>
          </rPr>
          <t xml:space="preserve">
• Liste over samarbejdspartnere med ESG-dokumentation
• Eksempler på ESG-indsatser (rapporter, politikker mv.)
• Intern vurdering af andel med ESG-dokumentation
</t>
        </r>
      </text>
    </comment>
    <comment ref="D123" authorId="0" shapeId="0" xr:uid="{5F58057A-3D6D-4234-B193-A94036EA6E06}">
      <text>
        <r>
          <rPr>
            <b/>
            <sz val="9"/>
            <color indexed="81"/>
            <rFont val="Tahoma"/>
            <family val="2"/>
          </rPr>
          <t>Mads Maarslet Richter:</t>
        </r>
        <r>
          <rPr>
            <sz val="9"/>
            <color indexed="81"/>
            <rFont val="Tahoma"/>
            <family val="2"/>
          </rPr>
          <t xml:space="preserve">
Dette kriterie følger samme princip som S2.3.4, men med et højere ambitionsniveau. Det kræver, at over 90 % af virksomhedens væsentlige samarbejdspartnere kan dokumentere deres arbejde med ESG.
Det kan bruges som indikator for en høj modenhed og ansvarlighed i virksomhedens samlede værdikæde.
</t>
        </r>
        <r>
          <rPr>
            <b/>
            <sz val="9"/>
            <color indexed="81"/>
            <rFont val="Tahoma"/>
            <family val="2"/>
          </rPr>
          <t>Dokumentation</t>
        </r>
        <r>
          <rPr>
            <sz val="9"/>
            <color indexed="81"/>
            <rFont val="Tahoma"/>
            <family val="2"/>
          </rPr>
          <t xml:space="preserve">
• Opgørelse over samarbejdspartnere med ESG-dokumentation
• Dokumentation for at 90 % eller flere opfylder kravet
• Eventuel oversigt over fravalg eller krav til ESG ved ny samarbejdspartner
</t>
        </r>
      </text>
    </comment>
    <comment ref="D126" authorId="0" shapeId="0" xr:uid="{590E1B0D-470C-4397-90CF-984E71836BC1}">
      <text>
        <r>
          <rPr>
            <b/>
            <sz val="9"/>
            <color indexed="81"/>
            <rFont val="Tahoma"/>
            <family val="2"/>
          </rPr>
          <t>Mads Maarslet Richter:</t>
        </r>
        <r>
          <rPr>
            <sz val="9"/>
            <color indexed="81"/>
            <rFont val="Tahoma"/>
            <family val="2"/>
          </rPr>
          <t xml:space="preserve">
Dette kriterie kræver, at virksomheden har foretaget en vurdering af sin samlede påvirkning på lokalsamfundet, herunder både miljømæssige, sociale, økonomiske og kulturelle effekter. Det kan omfatte biodiversitet, støjgener, adgang til rekreative områder, infrastruktur, social inklusion og muligheder for lokal beskæftigelse.
Virksomheden skal vurdere, hvordan dens aktiviteter påvirker det omkringliggende samfund og identificere både positive og negative virkninger, med særligt fokus på sårbare grupper.
</t>
        </r>
        <r>
          <rPr>
            <b/>
            <sz val="9"/>
            <color indexed="81"/>
            <rFont val="Tahoma"/>
            <family val="2"/>
          </rPr>
          <t xml:space="preserve">
Dokumentation</t>
        </r>
        <r>
          <rPr>
            <sz val="9"/>
            <color indexed="81"/>
            <rFont val="Tahoma"/>
            <family val="2"/>
          </rPr>
          <t xml:space="preserve">
• Vurdering eller analyse af samfundspåvirkninger
• Inddragelse af lokale aktører eller interessenter
• Eventuelle tiltag til at afbøde negative påvirkninger eller styrke positive effekter
</t>
        </r>
      </text>
    </comment>
    <comment ref="D127" authorId="0" shapeId="0" xr:uid="{161A2630-698C-40A7-B8E4-9215D6D47F22}">
      <text>
        <r>
          <rPr>
            <b/>
            <sz val="9"/>
            <color indexed="81"/>
            <rFont val="Tahoma"/>
            <family val="2"/>
          </rPr>
          <t>Mads Maarslet Richter:</t>
        </r>
        <r>
          <rPr>
            <sz val="9"/>
            <color indexed="81"/>
            <rFont val="Tahoma"/>
            <family val="2"/>
          </rPr>
          <t xml:space="preserve">
Dette kriterie kræver, at virksomheden tager ansvar for ikke at forringe lokalsamfundets adgang til basale fornødenheder som bolig, passende fødevarer, rent drikkevand og ordentlige sanitetsforhold.
Virksomheden skal vurdere, om dens aktiviteter direkte eller indirekte begrænser adgangen til disse ressourcer – f.eks. ved at presse boligmarkedet, forurene grundvandet eller optage betydelige lokale ressourcer – og i så fald sikre afværgeforanstaltninger.
</t>
        </r>
        <r>
          <rPr>
            <b/>
            <sz val="9"/>
            <color indexed="81"/>
            <rFont val="Tahoma"/>
            <family val="2"/>
          </rPr>
          <t>Dokumentation</t>
        </r>
        <r>
          <rPr>
            <sz val="9"/>
            <color indexed="81"/>
            <rFont val="Tahoma"/>
            <family val="2"/>
          </rPr>
          <t xml:space="preserve">
• Kortlægning af virksomhedens potentielle påvirkning af adgang til bolig, vand og fødevarer
• Risikovurdering eller screening i sårbare områder
• Foranstaltninger til at undgå eller kompensere for påvirkning
</t>
        </r>
      </text>
    </comment>
    <comment ref="D128" authorId="0" shapeId="0" xr:uid="{A5F62A61-6626-4D57-9BBE-90E151985670}">
      <text>
        <r>
          <rPr>
            <b/>
            <sz val="9"/>
            <color indexed="81"/>
            <rFont val="Tahoma"/>
            <family val="2"/>
          </rPr>
          <t>Mads Maarslet Richter:</t>
        </r>
        <r>
          <rPr>
            <sz val="9"/>
            <color indexed="81"/>
            <rFont val="Tahoma"/>
            <family val="2"/>
          </rPr>
          <t xml:space="preserve">
Dette kriterie kræver, at virksomheden respekterer og aktivt beskytter borgerlige og politiske rettigheder i de områder, den opererer i. Det gælder særligt ytringsfrihed, forsamlingsfrihed, retten til privatliv og deltagelse i offentlige beslutninger.
Virksomheden skal sikre, at dens egne aktiviteter – og samarbejdet med leverandører eller myndigheder – ikke medfører krænkelse af disse rettigheder.
</t>
        </r>
        <r>
          <rPr>
            <b/>
            <sz val="9"/>
            <color indexed="81"/>
            <rFont val="Tahoma"/>
            <family val="2"/>
          </rPr>
          <t xml:space="preserve">
Dokumentation</t>
        </r>
        <r>
          <rPr>
            <sz val="9"/>
            <color indexed="81"/>
            <rFont val="Tahoma"/>
            <family val="2"/>
          </rPr>
          <t xml:space="preserve">
• Politik eller erklæring om respekt for borgerlige og politiske rettigheder
• Interne retningslinjer for håndtering af rettighedskrænkelser
• Risikovurdering af lokal kontekst (f.eks. ved drift i højrisikolande)
</t>
        </r>
      </text>
    </comment>
    <comment ref="D130" authorId="0" shapeId="0" xr:uid="{6B3DB3DC-2C4A-4314-BA7E-587E9167AECB}">
      <text>
        <r>
          <rPr>
            <b/>
            <sz val="9"/>
            <color indexed="81"/>
            <rFont val="Tahoma"/>
            <family val="2"/>
          </rPr>
          <t>Mads Maarslet Richter:</t>
        </r>
        <r>
          <rPr>
            <sz val="9"/>
            <color indexed="81"/>
            <rFont val="Tahoma"/>
            <family val="2"/>
          </rPr>
          <t xml:space="preserve">
Dette kriterie kræver, at virksomheden støtter lokale aktiviteter gennem sponsorater. Det kan være støtte til sportshold, kulturelle arrangementer, sociale initiativer eller andre aktiviteter, der gavner lokalsamfundet. Støtten kan være økonomisk eller i form af produkter, tjenester eller arbejdskraft.
Formålet er at bidrage positivt til det samfund, virksomheden er en del af, og skabe værdi ud over den direkte forretning.
</t>
        </r>
        <r>
          <rPr>
            <b/>
            <sz val="9"/>
            <color indexed="81"/>
            <rFont val="Tahoma"/>
            <family val="2"/>
          </rPr>
          <t>Dokumentation</t>
        </r>
        <r>
          <rPr>
            <sz val="9"/>
            <color indexed="81"/>
            <rFont val="Tahoma"/>
            <family val="2"/>
          </rPr>
          <t xml:space="preserve">
• Liste over sponsorater og modtagere
• Beskrivelse af typen af støtte og formålet
• Eventuel politik eller praksis for sponsorering
</t>
        </r>
      </text>
    </comment>
    <comment ref="D131" authorId="0" shapeId="0" xr:uid="{468306CC-BEF7-4183-AF6A-DC9F485728B6}">
      <text>
        <r>
          <rPr>
            <b/>
            <sz val="9"/>
            <color indexed="81"/>
            <rFont val="Tahoma"/>
            <family val="2"/>
          </rPr>
          <t>Mads Maarslet Richter:</t>
        </r>
        <r>
          <rPr>
            <sz val="9"/>
            <color indexed="81"/>
            <rFont val="Tahoma"/>
            <family val="2"/>
          </rPr>
          <t xml:space="preserve">
Dette kriterie kræver, at virksomheden har en politik eller erklæring, der beskriver dens engagement i lokalsamfundets udvikling. Det kan f.eks. være støtte til beskæftigelse, uddannelse, infrastruktur eller sociale initiativer.
Politikken skal vise, hvordan virksomheden forsøger at bidrage til positiv udvikling – både gennem egne handlinger og samarbejder – og kan være baseret på ikke-økonomiske bidrag som frivillighed eller videndeling.
</t>
        </r>
        <r>
          <rPr>
            <b/>
            <sz val="9"/>
            <color indexed="81"/>
            <rFont val="Tahoma"/>
            <family val="2"/>
          </rPr>
          <t xml:space="preserve">
Dokumentation</t>
        </r>
        <r>
          <rPr>
            <sz val="9"/>
            <color indexed="81"/>
            <rFont val="Tahoma"/>
            <family val="2"/>
          </rPr>
          <t xml:space="preserve">
• Politik eller skriftlig erklæring om samfundsudvikling
• Eksempler på tiltag, der støtter lokalsamfundet
• Interne retningslinjer eller mål for samfundsbidrag
</t>
        </r>
      </text>
    </comment>
    <comment ref="D132" authorId="0" shapeId="0" xr:uid="{7157147E-7828-44E1-98E5-3F6CBEEC14BE}">
      <text>
        <r>
          <rPr>
            <b/>
            <sz val="9"/>
            <color indexed="81"/>
            <rFont val="Tahoma"/>
            <family val="2"/>
          </rPr>
          <t>Mads Maarslet Richter:</t>
        </r>
        <r>
          <rPr>
            <sz val="9"/>
            <color indexed="81"/>
            <rFont val="Tahoma"/>
            <family val="2"/>
          </rPr>
          <t xml:space="preserve">
Dette kriterie kræver, at virksomheden arbejder målrettet og langsigtet med sit engagement i lokalsamfundet. Det kan være gennem strategiske samarbejder, flerårige projekter eller etablerede partnerskaber, der understøtter udvikling og trivsel i samfundet.
Engagementet skal være forankret i virksomhedens strategi og bygge på kontinuitet, gensidig nytte og respekt for lokale behov.
</t>
        </r>
        <r>
          <rPr>
            <b/>
            <sz val="9"/>
            <color indexed="81"/>
            <rFont val="Tahoma"/>
            <family val="2"/>
          </rPr>
          <t xml:space="preserve">
Dokumentation</t>
        </r>
        <r>
          <rPr>
            <sz val="9"/>
            <color indexed="81"/>
            <rFont val="Tahoma"/>
            <family val="2"/>
          </rPr>
          <t xml:space="preserve">
• Beskrivelse af langsigtede partnerskaber eller initiativer
• Samarbejdsaftaler eller projektplaner
• Strategi eller målsætning for samfundsengagement
</t>
        </r>
      </text>
    </comment>
    <comment ref="D135" authorId="0" shapeId="0" xr:uid="{F7DA2C3C-1B54-46AC-AF1E-26A7B946AEF0}">
      <text>
        <r>
          <rPr>
            <b/>
            <sz val="9"/>
            <color indexed="81"/>
            <rFont val="Tahoma"/>
            <family val="2"/>
          </rPr>
          <t>Mads Maarslet Richter:</t>
        </r>
        <r>
          <rPr>
            <sz val="9"/>
            <color indexed="81"/>
            <rFont val="Tahoma"/>
            <family val="2"/>
          </rPr>
          <t xml:space="preserve">
Dette kriterie kræver, at virksomheden giver forbrugere og slutbrugere klare og gennemskuelige oplysninger om produkters og tjenesters indvirkning på sundhed, sikkerhed og miljø.
Oplysningerne skal være let tilgængelige og formidlet på en måde, der gør det muligt for brugerne at træffe informerede valg.
</t>
        </r>
        <r>
          <rPr>
            <b/>
            <sz val="9"/>
            <color indexed="81"/>
            <rFont val="Tahoma"/>
            <family val="2"/>
          </rPr>
          <t>Dokumentation</t>
        </r>
        <r>
          <rPr>
            <sz val="9"/>
            <color indexed="81"/>
            <rFont val="Tahoma"/>
            <family val="2"/>
          </rPr>
          <t xml:space="preserve">
• Produktblade, mærkninger eller brugervejledninger
• Websider eller materialer med relevante informationer
• Interne retningslinjer for informationsformidling
</t>
        </r>
      </text>
    </comment>
    <comment ref="D136" authorId="0" shapeId="0" xr:uid="{CE757EB8-9414-43D8-80F7-6128658FB237}">
      <text>
        <r>
          <rPr>
            <b/>
            <sz val="9"/>
            <color indexed="81"/>
            <rFont val="Tahoma"/>
            <family val="2"/>
          </rPr>
          <t>Mads Maarslet Richter:</t>
        </r>
        <r>
          <rPr>
            <sz val="9"/>
            <color indexed="81"/>
            <rFont val="Tahoma"/>
            <family val="2"/>
          </rPr>
          <t xml:space="preserve">
Dette kriterie kræver, at virksomheden behandler personoplysninger ansvarligt og i overensstemmelse med gældende databeskyttelseslovgivning (f.eks. GDPR).
Virksomheden skal beskytte brugernes privatliv og sikre, at data kun anvendes til de formål, som er oplyst.
</t>
        </r>
        <r>
          <rPr>
            <b/>
            <sz val="9"/>
            <color indexed="81"/>
            <rFont val="Tahoma"/>
            <family val="2"/>
          </rPr>
          <t>Dokumentation</t>
        </r>
        <r>
          <rPr>
            <sz val="9"/>
            <color indexed="81"/>
            <rFont val="Tahoma"/>
            <family val="2"/>
          </rPr>
          <t xml:space="preserve">
• Privatlivspolitik og samtykkepraksis
• Sikkerhedsforanstaltninger og databehandlingsaftaler
• Interne procedurer for håndtering af persondata
</t>
        </r>
      </text>
    </comment>
    <comment ref="D137" authorId="0" shapeId="0" xr:uid="{871AB100-DA34-41DB-BE8C-D4AC2B7FF91A}">
      <text>
        <r>
          <rPr>
            <b/>
            <sz val="9"/>
            <color indexed="81"/>
            <rFont val="Tahoma"/>
            <family val="2"/>
          </rPr>
          <t>Mads Maarslet Richter:</t>
        </r>
        <r>
          <rPr>
            <sz val="9"/>
            <color indexed="81"/>
            <rFont val="Tahoma"/>
            <family val="2"/>
          </rPr>
          <t xml:space="preserve">
Dette kriterie kræver, at virksomheden tager ansvar for brugeres personlige sikkerhed, og at der tages særlige hensyn til børn. Det omfatter f.eks. at undgå markedsføring af skadelige produkter til børn og at sikre, at produkter og tjenester ikke medfører risiko for fysisk eller psykisk skade.
</t>
        </r>
        <r>
          <rPr>
            <b/>
            <sz val="9"/>
            <color indexed="81"/>
            <rFont val="Tahoma"/>
            <family val="2"/>
          </rPr>
          <t>Dokumentation</t>
        </r>
        <r>
          <rPr>
            <sz val="9"/>
            <color indexed="81"/>
            <rFont val="Tahoma"/>
            <family val="2"/>
          </rPr>
          <t xml:space="preserve">
• Retningslinjer for produktdesign og markedsføring rettet mod børn
• Politik for børnebeskyttelse
• Risikovurderinger af produkter og tjenester rettet mod børn
</t>
        </r>
      </text>
    </comment>
    <comment ref="D139" authorId="0" shapeId="0" xr:uid="{5C436655-1DC2-462C-8EDB-16D3D93B9573}">
      <text>
        <r>
          <rPr>
            <b/>
            <sz val="9"/>
            <color indexed="81"/>
            <rFont val="Tahoma"/>
            <family val="2"/>
          </rPr>
          <t>Mads Maarslet Richter:</t>
        </r>
        <r>
          <rPr>
            <sz val="9"/>
            <color indexed="81"/>
            <rFont val="Tahoma"/>
            <family val="2"/>
          </rPr>
          <t xml:space="preserve">
Dette kriterie kræver, at virksomheden markedsfører sine produkter og tjenester på en ansvarlig måde, der ikke er vildledende og som respekterer forbrugernes ret til at træffe oplyste valg.
Virksomheden undgår brug af urigtige eller manipulerende udsagn og sikrer, at markedsføringen er ærlig, gennemsigtig og i overensstemmelse med lovgivningen.
</t>
        </r>
        <r>
          <rPr>
            <b/>
            <sz val="9"/>
            <color indexed="81"/>
            <rFont val="Tahoma"/>
            <family val="2"/>
          </rPr>
          <t>Dokumentation</t>
        </r>
        <r>
          <rPr>
            <sz val="9"/>
            <color indexed="81"/>
            <rFont val="Tahoma"/>
            <family val="2"/>
          </rPr>
          <t xml:space="preserve">
• Retningslinjer eller politik for markedsføring
• Eksempler på markedsføringsmateriale
• Procedure for godkendelse og kvalitetssikring af kampagner
</t>
        </r>
      </text>
    </comment>
    <comment ref="D140" authorId="0" shapeId="0" xr:uid="{1F991A3A-475E-4B28-A926-DB69B7BF50DB}">
      <text>
        <r>
          <rPr>
            <b/>
            <sz val="9"/>
            <color indexed="81"/>
            <rFont val="Tahoma"/>
            <family val="2"/>
          </rPr>
          <t>Mads Maarslet Richter:</t>
        </r>
        <r>
          <rPr>
            <sz val="9"/>
            <color indexed="81"/>
            <rFont val="Tahoma"/>
            <family val="2"/>
          </rPr>
          <t xml:space="preserve">
Dette kriterie kræver, at virksomheden fremmer social inklusion ved at sikre, at produkter og tjenester er tilgængelige for alle – uanset f.eks. køn, alder, handicap eller etnisk baggrund.
Virksomheden skal undgå diskriminerende praksis og arbejde for bred tilgængelighed og lige adgang til virksomhedens ydelser.
</t>
        </r>
        <r>
          <rPr>
            <b/>
            <sz val="9"/>
            <color indexed="81"/>
            <rFont val="Tahoma"/>
            <family val="2"/>
          </rPr>
          <t>Dokumentation</t>
        </r>
        <r>
          <rPr>
            <sz val="9"/>
            <color indexed="81"/>
            <rFont val="Tahoma"/>
            <family val="2"/>
          </rPr>
          <t xml:space="preserve">
• Politik for inklusion og tilgængelighed
• Brugertests eller tilgængelighedsvurderinger
• Justeringer foretaget for at øge tilgængeligheden
</t>
        </r>
      </text>
    </comment>
    <comment ref="D141" authorId="0" shapeId="0" xr:uid="{89890774-BA9D-4534-880C-79DA85D74503}">
      <text>
        <r>
          <rPr>
            <b/>
            <sz val="9"/>
            <color indexed="81"/>
            <rFont val="Tahoma"/>
            <family val="2"/>
          </rPr>
          <t>Mads Maarslet Richter:</t>
        </r>
        <r>
          <rPr>
            <sz val="9"/>
            <color indexed="81"/>
            <rFont val="Tahoma"/>
            <family val="2"/>
          </rPr>
          <t xml:space="preserve">
Dette kriterie kræver, at virksomheden aktivt arbejder for at tilpasse produkter og tjenester til forskellige forbrugeres behov, f.eks. gennem fleksible løsninger eller særlige tilpasninger.
Formålet er at sikre, at alle forbrugere – uanset forudsætninger – har reel mulighed for at bruge virksomhedens produkter og ydelser.
</t>
        </r>
        <r>
          <rPr>
            <b/>
            <sz val="9"/>
            <color indexed="81"/>
            <rFont val="Tahoma"/>
            <family val="2"/>
          </rPr>
          <t>Dokumentation</t>
        </r>
        <r>
          <rPr>
            <sz val="9"/>
            <color indexed="81"/>
            <rFont val="Tahoma"/>
            <family val="2"/>
          </rPr>
          <t xml:space="preserve">
• Eksempler på tilpasninger foretaget for specifikke brugergrupper
• Udviklingsplaner eller produktdesign med hensyn til mangfoldighed
• Interne processer for at identificere og imødekomme forskellige behov
</t>
        </r>
      </text>
    </comment>
    <comment ref="D144" authorId="0" shapeId="0" xr:uid="{C1FD39D1-6656-4388-A022-3AD2D5EE00D6}">
      <text>
        <r>
          <rPr>
            <b/>
            <sz val="9"/>
            <color indexed="81"/>
            <rFont val="Tahoma"/>
            <family val="2"/>
          </rPr>
          <t>Mads Maarslet Richter:</t>
        </r>
        <r>
          <rPr>
            <sz val="9"/>
            <color indexed="81"/>
            <rFont val="Tahoma"/>
            <family val="2"/>
          </rPr>
          <t xml:space="preserve">
Dette kriterie kræver, at virksomheden har en eller flere politikker, der tydeligt viser, at virksomheden arbejder i overensstemmelse med gældende lovgivning og bygger på et klart værdisæt.
Virksomheden skal kunne dokumentere, at den holder sig ajour med relevante regler og lovkrav – f.eks. miljølovgivning, arbejdsmiljø, databeskyttelse eller sociale forhold – og at politikkerne afspejler virksomhedens værdigrundlag og forpligtelse til at overholde disse krav.
Politikken må gerne være overordnet, men den skal være skriftlig, implementeret og tilgængelig for medarbejdere og relevante interessenter.
</t>
        </r>
        <r>
          <rPr>
            <b/>
            <sz val="9"/>
            <color indexed="81"/>
            <rFont val="Tahoma"/>
            <family val="2"/>
          </rPr>
          <t>Dokumentation</t>
        </r>
        <r>
          <rPr>
            <sz val="9"/>
            <color indexed="81"/>
            <rFont val="Tahoma"/>
            <family val="2"/>
          </rPr>
          <t xml:space="preserve">
• Politikker for overholdelse af lovgivning og værdier
• Intern kommunikation eller oplæring i politikker
• Oversigt over ansvarlige for opdatering og compliance
</t>
        </r>
      </text>
    </comment>
    <comment ref="D145" authorId="0" shapeId="0" xr:uid="{FACF0D93-F18B-47EA-AF37-9EBBDE220DB1}">
      <text>
        <r>
          <rPr>
            <b/>
            <sz val="9"/>
            <color indexed="81"/>
            <rFont val="Tahoma"/>
            <family val="2"/>
          </rPr>
          <t>Mads Maarslet Richter:</t>
        </r>
        <r>
          <rPr>
            <sz val="9"/>
            <color indexed="81"/>
            <rFont val="Tahoma"/>
            <family val="2"/>
          </rPr>
          <t xml:space="preserve">
Dette kriterie kræver, at virksomhedens politikker ikke står alene som overordnede hensigtserklæringer, men er koblet til konkrete og målbare målsætninger samt en plan eller strategi for, hvordan målene opnås.
Politikkerne skal altså ikke blot beskrive, hvad virksomheden ønsker at opnå, men også hvordan det skal ske, og hvornår.
Der lægges vægt på, at målsætningerne er realistiske, tidsafgrænsede og forankret i virksomhedens praksis – f.eks. via handlingsplaner, ledelsesværktøjer eller løbende opfølgning.
</t>
        </r>
        <r>
          <rPr>
            <b/>
            <sz val="9"/>
            <color indexed="81"/>
            <rFont val="Tahoma"/>
            <family val="2"/>
          </rPr>
          <t>Dokumentation</t>
        </r>
        <r>
          <rPr>
            <sz val="9"/>
            <color indexed="81"/>
            <rFont val="Tahoma"/>
            <family val="2"/>
          </rPr>
          <t xml:space="preserve">
• Politikker med tilknyttede mål og delmål
• Handlingsplaner eller strategier knyttet til politikker
• Ledelsesgennemgang eller resultatopfølgning på målsætninger
</t>
        </r>
      </text>
    </comment>
    <comment ref="D146" authorId="0" shapeId="0" xr:uid="{08FBB391-A113-4C61-AA63-FE809DE336A8}">
      <text>
        <r>
          <rPr>
            <b/>
            <sz val="9"/>
            <color indexed="81"/>
            <rFont val="Tahoma"/>
            <family val="2"/>
          </rPr>
          <t>Mads Maarslet Richter:</t>
        </r>
        <r>
          <rPr>
            <sz val="9"/>
            <color indexed="81"/>
            <rFont val="Tahoma"/>
            <family val="2"/>
          </rPr>
          <t xml:space="preserve">
Dette kriterie kræver, at virksomheden har politikker, der samlet dækker hele ESG-området: miljømæssige forhold (E), sociale forhold (S) og ledelsesforhold (G).
Det er ikke et krav, at der findes én samlet ESG-politik, men alle tre områder skal være dækket af relevante og aktive politikker.
Derudover skal virksomheden kunne vise, at disse politikker er operationelle – det vil sige koblet til konkrete handlinger eller planer. Det skal fremgå, hvordan virksomheden arbejder aktivt med at realisere hensigterne i sine ESG-politikker.
</t>
        </r>
        <r>
          <rPr>
            <b/>
            <sz val="9"/>
            <color indexed="81"/>
            <rFont val="Tahoma"/>
            <family val="2"/>
          </rPr>
          <t>Dokumentation</t>
        </r>
        <r>
          <rPr>
            <sz val="9"/>
            <color indexed="81"/>
            <rFont val="Tahoma"/>
            <family val="2"/>
          </rPr>
          <t xml:space="preserve">
• Politikker for miljø, sociale forhold og god ledelse
• Kortlægningsdokumenter, retningslinjer og handlingsplaner
• Dokumentation for aktiv implementering (f.eks. oplæring, aktiviteter, opfølgning)
</t>
        </r>
      </text>
    </comment>
    <comment ref="D147" authorId="0" shapeId="0" xr:uid="{1A5CDC6D-F4F7-4C5C-81E5-6C4BE4A387A7}">
      <text>
        <r>
          <rPr>
            <b/>
            <sz val="9"/>
            <color indexed="81"/>
            <rFont val="Tahoma"/>
            <family val="2"/>
          </rPr>
          <t>Mads Maarslet Richter:</t>
        </r>
        <r>
          <rPr>
            <sz val="9"/>
            <color indexed="81"/>
            <rFont val="Tahoma"/>
            <family val="2"/>
          </rPr>
          <t xml:space="preserve">
Dette kriterie kræver, at virksomheden har en struktur for løbende opfølgning og opdatering af sine politikker.
Det er ikke nok blot at have formuleret politikker – virksomheden skal kunne dokumentere, at de bliver taget alvorligt og løbende vurderet i forhold til relevans, lovgivning, udvikling i samfund og branche samt virksomhedens egne erfaringer.
Opdateringer kan ske efter faste intervaller (f.eks. årligt) eller som følge af væsentlige ændringer. Der skal være en klar ansvarlighed for opdatering og en systematik i processen.
</t>
        </r>
        <r>
          <rPr>
            <b/>
            <sz val="9"/>
            <color indexed="81"/>
            <rFont val="Tahoma"/>
            <family val="2"/>
          </rPr>
          <t>Dokumentation</t>
        </r>
        <r>
          <rPr>
            <sz val="9"/>
            <color indexed="81"/>
            <rFont val="Tahoma"/>
            <family val="2"/>
          </rPr>
          <t xml:space="preserve">
• Plan eller procedure for opfølgning og opdatering
• Versionshistorik eller revisionsdatoer på politikker
• Referater eller beslutninger fra møder om politiske opdateringer
</t>
        </r>
      </text>
    </comment>
    <comment ref="D149" authorId="0" shapeId="0" xr:uid="{2E5EF622-0606-44F1-AD88-16751423235A}">
      <text>
        <r>
          <rPr>
            <b/>
            <sz val="9"/>
            <color indexed="81"/>
            <rFont val="Tahoma"/>
            <family val="2"/>
          </rPr>
          <t>Mads Maarslet Richter:</t>
        </r>
        <r>
          <rPr>
            <sz val="9"/>
            <color indexed="81"/>
            <rFont val="Tahoma"/>
            <family val="2"/>
          </rPr>
          <t xml:space="preserve">
Dette kriterie kræver, at virksomheden er transparent om eventuelle domme og bøder, der er relateret til korruption eller bestikkelse.
Der skal være en opgørelse over antallet af sådanne sager samt den samlede bødesum i en given rapporteringsperiode. Oplysningerne skal være dokumenterede og let tilgængelige som en del af virksomhedens bæredygtighedsrapportering.
Formålet er at sikre åbenhed om virksomhedens integritet og eventuelle historik med korruptionssager.
</t>
        </r>
        <r>
          <rPr>
            <b/>
            <sz val="9"/>
            <color indexed="81"/>
            <rFont val="Tahoma"/>
            <family val="2"/>
          </rPr>
          <t>Dokumentation</t>
        </r>
        <r>
          <rPr>
            <sz val="9"/>
            <color indexed="81"/>
            <rFont val="Tahoma"/>
            <family val="2"/>
          </rPr>
          <t xml:space="preserve">
• Tabel eller afsnit med antal domme og samlet bødesum
• Evt. links eller referencer til afgørelser (hvis offentligt tilgængelige)
</t>
        </r>
      </text>
    </comment>
    <comment ref="D150" authorId="0" shapeId="0" xr:uid="{65682F0B-2A13-4254-90D8-DF52C0329180}">
      <text>
        <r>
          <rPr>
            <b/>
            <sz val="9"/>
            <color indexed="81"/>
            <rFont val="Tahoma"/>
            <family val="2"/>
          </rPr>
          <t>Mads Maarslet Richter:</t>
        </r>
        <r>
          <rPr>
            <sz val="9"/>
            <color indexed="81"/>
            <rFont val="Tahoma"/>
            <family val="2"/>
          </rPr>
          <t xml:space="preserve">
Dette kriterie kræver, at virksomheden har en aktiv og skriftlig politik for at forebygge korruption og bestikkelse.
Politikken skal være integreret i virksomhedens etiske retningslinjer og skal beskrive, hvordan virksomheden forholder sig til gaver, interessekonflikter, tredjepartsbetalinger og lignende risici.
Politikken skal være kendt i organisationen og aktivt anvendt i praksis.
</t>
        </r>
        <r>
          <rPr>
            <b/>
            <sz val="9"/>
            <color indexed="81"/>
            <rFont val="Tahoma"/>
            <family val="2"/>
          </rPr>
          <t>Dokumentation</t>
        </r>
        <r>
          <rPr>
            <sz val="9"/>
            <color indexed="81"/>
            <rFont val="Tahoma"/>
            <family val="2"/>
          </rPr>
          <t xml:space="preserve">
• Antikorruptionspolitik eller afsnit i etiske retningslinjer
• Intern kommunikation eller oplæring relateret til politikken
</t>
        </r>
      </text>
    </comment>
    <comment ref="D151" authorId="0" shapeId="0" xr:uid="{73067461-2611-4D0D-B7F7-270B0FBF6CC6}">
      <text>
        <r>
          <rPr>
            <b/>
            <sz val="9"/>
            <color indexed="81"/>
            <rFont val="Tahoma"/>
            <family val="2"/>
          </rPr>
          <t>Mads Maarslet Richter:</t>
        </r>
        <r>
          <rPr>
            <sz val="9"/>
            <color indexed="81"/>
            <rFont val="Tahoma"/>
            <family val="2"/>
          </rPr>
          <t xml:space="preserve">
Dette kriterie kræver, at virksomheden har gennemført interne revisioner og træningstiltag, der skal forebygge korruption og bestikkelse.
Træningen skal være målrettet relevante medarbejdere og dække risikozoner som indkøb, salg, samarbejde med underleverandører og myndighedskontakt. Revisionen skal være dokumenteret og skal vurdere overholdelse af virksomhedens politikker.
</t>
        </r>
        <r>
          <rPr>
            <b/>
            <sz val="9"/>
            <color indexed="81"/>
            <rFont val="Tahoma"/>
            <family val="2"/>
          </rPr>
          <t>Dokumentation</t>
        </r>
        <r>
          <rPr>
            <sz val="9"/>
            <color indexed="81"/>
            <rFont val="Tahoma"/>
            <family val="2"/>
          </rPr>
          <t xml:space="preserve">
• Kursusmaterialer eller deltagerlister for træning i antikorruption
• Rapport eller konklusion fra interne revisioner
• Interne notater eller referater fra compliance-gennemgange
</t>
        </r>
      </text>
    </comment>
    <comment ref="D153" authorId="0" shapeId="0" xr:uid="{F9467056-EBF6-4C30-B561-02FBE7F62A2E}">
      <text>
        <r>
          <rPr>
            <b/>
            <sz val="9"/>
            <color indexed="81"/>
            <rFont val="Tahoma"/>
            <family val="2"/>
          </rPr>
          <t>Mads Maarslet Richter:</t>
        </r>
        <r>
          <rPr>
            <sz val="9"/>
            <color indexed="81"/>
            <rFont val="Tahoma"/>
            <family val="2"/>
          </rPr>
          <t xml:space="preserve">
Dette kriterie kræver, at virksomheden dokumenterer og er transparent omkring eventuelle aktiviteter i sektorer, der anses for kontroversielle.
Det gælder f.eks. våbenproduktion (inkl. antipersonelminer og klyngeammunition), tobaksproduktion, fossile brændsler, kemikalieproduktion samt aktiviteter, der er ekskluderet i EU-referencerammer og ikke er i overensstemmelse med Parisaftalen.
Hvis virksomheden har indtægter fra sådanne aktiviteter, skal disse kvantificeres og rapporteres i bæredygtighedsrapporteringen.
</t>
        </r>
        <r>
          <rPr>
            <b/>
            <sz val="9"/>
            <color indexed="81"/>
            <rFont val="Tahoma"/>
            <family val="2"/>
          </rPr>
          <t>Dokumentation</t>
        </r>
        <r>
          <rPr>
            <sz val="9"/>
            <color indexed="81"/>
            <rFont val="Tahoma"/>
            <family val="2"/>
          </rPr>
          <t xml:space="preserve">
• Opgørelse over aktiviteter og/eller indtægter fra kontroversielle sektorer
• Eventuel redegørelse for hvordan virksomheden forholder sig til disse aktiviteter
• Angivelse af omfang og procentdel af samlet omsætning
</t>
        </r>
      </text>
    </comment>
    <comment ref="D156" authorId="0" shapeId="0" xr:uid="{F55712A8-CCEB-4D08-AB28-2C057B1C35D6}">
      <text>
        <r>
          <rPr>
            <sz val="9"/>
            <color indexed="81"/>
            <rFont val="Tahoma"/>
            <family val="2"/>
          </rPr>
          <t xml:space="preserve">
</t>
        </r>
      </text>
    </comment>
    <comment ref="D157" authorId="0" shapeId="0" xr:uid="{BB264761-E6D4-48E6-BC16-19D2E4CB82CD}">
      <text>
        <r>
          <rPr>
            <sz val="9"/>
            <color indexed="81"/>
            <rFont val="Tahoma"/>
            <family val="2"/>
          </rPr>
          <t xml:space="preserve">
</t>
        </r>
      </text>
    </comment>
    <comment ref="D158" authorId="0" shapeId="0" xr:uid="{A4A45AB1-9513-4698-8E19-D329AF10A682}">
      <text>
        <r>
          <rPr>
            <sz val="9"/>
            <color indexed="81"/>
            <rFont val="Tahoma"/>
            <family val="2"/>
          </rPr>
          <t xml:space="preserve">
</t>
        </r>
      </text>
    </comment>
    <comment ref="D159" authorId="0" shapeId="0" xr:uid="{6995B2FC-F036-4135-93D4-94E7EE586FB2}">
      <text>
        <r>
          <rPr>
            <sz val="9"/>
            <color indexed="81"/>
            <rFont val="Tahoma"/>
            <family val="2"/>
          </rPr>
          <t xml:space="preserve">
</t>
        </r>
      </text>
    </comment>
    <comment ref="D160" authorId="0" shapeId="0" xr:uid="{8B448028-B2DB-4EE7-90A6-3CFD2EB7314A}">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<sst xmlns="http://schemas.openxmlformats.org/spreadsheetml/2006/main" count="3204" uniqueCount="3071">
  <si>
    <t>E1</t>
  </si>
  <si>
    <t>E2</t>
  </si>
  <si>
    <t>1.1</t>
  </si>
  <si>
    <t>Klimaforandringer</t>
  </si>
  <si>
    <t>Forurening</t>
  </si>
  <si>
    <t>E3</t>
  </si>
  <si>
    <t>E4</t>
  </si>
  <si>
    <t>Biodiversitet og økosystemer</t>
  </si>
  <si>
    <t>Vand- og havressourcer</t>
  </si>
  <si>
    <t>E5</t>
  </si>
  <si>
    <t>Ressourceanvendelse og cirkulær økonomi</t>
  </si>
  <si>
    <t>Cirkulær økonomi</t>
  </si>
  <si>
    <t>Affaldshåndtering</t>
  </si>
  <si>
    <t>S1</t>
  </si>
  <si>
    <t>S2</t>
  </si>
  <si>
    <t>Egen arbejdsstyrke</t>
  </si>
  <si>
    <t>Arbejdstagere i værdikæden</t>
  </si>
  <si>
    <t>S3</t>
  </si>
  <si>
    <t>Berørte samfund</t>
  </si>
  <si>
    <t>S4</t>
  </si>
  <si>
    <t>Forbrugere og slutbrugere</t>
  </si>
  <si>
    <t>G1</t>
  </si>
  <si>
    <t>Kriterium</t>
  </si>
  <si>
    <t>Indikator</t>
  </si>
  <si>
    <t>2.1</t>
  </si>
  <si>
    <t>3.1</t>
  </si>
  <si>
    <t>Indikator point</t>
  </si>
  <si>
    <t>CO2 udledninger</t>
  </si>
  <si>
    <t>Energimærke</t>
  </si>
  <si>
    <t>Score</t>
  </si>
  <si>
    <t>Vandforbrug og vandudtag</t>
  </si>
  <si>
    <t>Arealforbrug</t>
  </si>
  <si>
    <t>Arbejdsulykker</t>
  </si>
  <si>
    <t>Vederlag og overenskomster</t>
  </si>
  <si>
    <t>Uddannelse</t>
  </si>
  <si>
    <t>Menneskerettigheder og etiske retningslinjer</t>
  </si>
  <si>
    <t>Demografiske data</t>
  </si>
  <si>
    <t>Sundhed og arbejdsmiljø</t>
  </si>
  <si>
    <t>4.1</t>
  </si>
  <si>
    <t>5.1</t>
  </si>
  <si>
    <t>Politikker</t>
  </si>
  <si>
    <t>Korruption og bestikkelse</t>
  </si>
  <si>
    <t>Aktivitet i kontroversielle sektorer</t>
  </si>
  <si>
    <t>Samlet score</t>
  </si>
  <si>
    <t>Virksomheden har udregnet og dokumenteret sine CO2e-udledninger for Scope 1 og 2.</t>
  </si>
  <si>
    <t>1.1.1</t>
  </si>
  <si>
    <t>Virksomheden har en politik for reduktion af sine CO2e-udledninger.</t>
  </si>
  <si>
    <t>Virksomheden har udregnet og dokumenteret sine CO2e-udledninger for Scope 1, 2 og 3.</t>
  </si>
  <si>
    <t>Virksomheden har konkrete mål for reduktion af sine CO2e-udledninger.</t>
  </si>
  <si>
    <t>1.1.2</t>
  </si>
  <si>
    <t>1.1.3</t>
  </si>
  <si>
    <t>1.1.4</t>
  </si>
  <si>
    <t>1.1.5</t>
  </si>
  <si>
    <t>Virksomheden har en handlingsplan/strategi for, hvordan de vil opnå deres energimål.</t>
  </si>
  <si>
    <t>Virksomheden har konkrete målsætninger for at øge andelen af vedvarende energi og reducere energiforbruget.</t>
  </si>
  <si>
    <t>Virksomheden har en politik for at håndtere energiforbrug og energimiks.</t>
  </si>
  <si>
    <t>2.1.1</t>
  </si>
  <si>
    <t>Størstedelen af virksomhedens bygninger har energimærke A2020.</t>
  </si>
  <si>
    <t>Størstedelen af virksomhedens bygninger har energimærke A2015 eller bedre.</t>
  </si>
  <si>
    <t>Størstedelen af virksomhedens bygninger har energimærke A2010 eller bedre.</t>
  </si>
  <si>
    <t>Størstedelen af virksomhedens bygninger har energimærke B eller bedre.</t>
  </si>
  <si>
    <t>3.1.1</t>
  </si>
  <si>
    <t>3.1.2</t>
  </si>
  <si>
    <t>3.1.4</t>
  </si>
  <si>
    <t>3.1.3</t>
  </si>
  <si>
    <t>1.2</t>
  </si>
  <si>
    <t>1.3</t>
  </si>
  <si>
    <t>1.4</t>
  </si>
  <si>
    <t>1.5</t>
  </si>
  <si>
    <t>1.2.1</t>
  </si>
  <si>
    <t>1.2.2</t>
  </si>
  <si>
    <t>1.2.3</t>
  </si>
  <si>
    <t>1.3.1</t>
  </si>
  <si>
    <t>1.3.2</t>
  </si>
  <si>
    <t>1.3.3</t>
  </si>
  <si>
    <t>1.3.4</t>
  </si>
  <si>
    <t>1.2.4</t>
  </si>
  <si>
    <t>Samlet indikator point</t>
  </si>
  <si>
    <t>Virksomheden har en handlingsplan/strategi for, hvordan de vil opnå deres vandreduktionsmål.</t>
  </si>
  <si>
    <t>Virksomheden har konkrete mål for reduktion af vandudtag og vandforbrug.</t>
  </si>
  <si>
    <t>Virksomheden har en politik for vandforbrug.</t>
  </si>
  <si>
    <t>Virksomheden har dokumenteret sit vandforbrug og vandudtag.</t>
  </si>
  <si>
    <t>4.1.1</t>
  </si>
  <si>
    <t>4.1.2</t>
  </si>
  <si>
    <t>Virksomheden har en handlingsplan/strategi for at opnå disse mål.</t>
  </si>
  <si>
    <t>Virksomheden har konkrete mål for at forbedre ressourceeffektivitet og cirkulær økonomi.</t>
  </si>
  <si>
    <t>Virksomheden har en politik for ressourceanvendelse og cirkulær økonomi.</t>
  </si>
  <si>
    <t>5.1.1</t>
  </si>
  <si>
    <t>5.1.2</t>
  </si>
  <si>
    <t>5.1.3</t>
  </si>
  <si>
    <t>Virksomheden har en politik for affaldshåndtering.</t>
  </si>
  <si>
    <t>Hvis virksomheden arbejder i en materialetung sektor, har den dokumenteret mængden af forskellige materialetyper i ton/m³.</t>
  </si>
  <si>
    <t>Virksomheden har konkrete mål for at reducere affaldsmængden og øge genbrug/genanvendelse.</t>
  </si>
  <si>
    <t>Virksomheden har dokumenteret sin samlede årlige affaldsmængde.</t>
  </si>
  <si>
    <t>5.2</t>
  </si>
  <si>
    <t>5.2.1</t>
  </si>
  <si>
    <t>5.2.3</t>
  </si>
  <si>
    <t>5.2.5</t>
  </si>
  <si>
    <t>5.2.2</t>
  </si>
  <si>
    <t>5.2.4</t>
  </si>
  <si>
    <t>Virksomheden har registreret arbejdsrelaterede dødsfald og arbejder på at reducere sådanne hændelser.</t>
  </si>
  <si>
    <t>Virksomheden har en politik for sundhed og sikkerhed, der sigter mod at forebygge arbejdsulykker.</t>
  </si>
  <si>
    <t>Virksomheden har dokumenteret antallet af arbejdsulykker og deres frekvens.</t>
  </si>
  <si>
    <t>Virksomheden har angivet procentdelen af medarbejderne er dækket af kollektive overenskomster.</t>
  </si>
  <si>
    <t>Virksomheden har en strategi for lønstruktur og ansættelsesvilkår.</t>
  </si>
  <si>
    <t>Virksomheden har dokumenteret lønforskellen mellem mandlige og kvindelige ansatte, hvis relevant.</t>
  </si>
  <si>
    <t>Virksomheden sikrer, at alle ansatte modtager en løn, der lever op til lovgivning eller overenskomster.</t>
  </si>
  <si>
    <t>Virksomheden har en strategi for medarbejderudvikling og kompetenceopbygning.</t>
  </si>
  <si>
    <t>Uddannelsestimerne er opdelt efter køn og relevante medarbejdergrupper.</t>
  </si>
  <si>
    <t>Virksomheden tilbyder uddannelse til sine ansatte og har dokumenteret uddannelsestimer pr. ansat.</t>
  </si>
  <si>
    <t>1.4.1</t>
  </si>
  <si>
    <t>1.4.2</t>
  </si>
  <si>
    <t>1.4.3</t>
  </si>
  <si>
    <t>Virksomheden har tidligere håndteret hændelser relateret til menneskerettigheder og har dokumenteret de skridt, der blev taget.</t>
  </si>
  <si>
    <t>Virksomheden har en strategi for at håndtere medarbejderklager og sikre et etisk arbejdsmiljø.</t>
  </si>
  <si>
    <t>Virksomheden har en Code of Conduct eller en menneskerettighedspolitik, der dækker nøgleområder som børnearbejde, tvangsarbejde og diskrimination.</t>
  </si>
  <si>
    <t>Hvis relevant, er medarbejderomsætningen dokumenteret og angivet i procent.</t>
  </si>
  <si>
    <t>Virksomheden har registreret ansatte i henhold til ansættelseskontrakter fordelt på lande.</t>
  </si>
  <si>
    <t>Der er dokumenteret kønsfordeling blandt medarbejderne.</t>
  </si>
  <si>
    <t>Virksomheden har dokumenteret antal ansatte og opdelingen mellem midlertidige og fastansatte.</t>
  </si>
  <si>
    <t>Virksomheden har en handlingsplan/strategi for at opnå forbedringer i arbejdsmiljøet og sundhed.</t>
  </si>
  <si>
    <t>Virksomheden har konkrete målsætninger for at forbedre arbejdsmiljøet og arbejdstageres sundhed.</t>
  </si>
  <si>
    <t>Virksomheden gennemfører regelmæssigt arbejdspladsvurdering (APV) for at identificere risici og forbedre arbejdsmiljøet.</t>
  </si>
  <si>
    <t>Virksomheden har en politik for arbejdsmiljø, der inkluderer tiltag for at sikre et sundt og sikkert arbejdsmiljø.</t>
  </si>
  <si>
    <t>1.5.1</t>
  </si>
  <si>
    <t>1.5.2</t>
  </si>
  <si>
    <t>1.5.3</t>
  </si>
  <si>
    <t>1.5.4</t>
  </si>
  <si>
    <t>1.6</t>
  </si>
  <si>
    <t>1.6.1</t>
  </si>
  <si>
    <t>1.6.2</t>
  </si>
  <si>
    <t>1.6.3</t>
  </si>
  <si>
    <t>1.6.4</t>
  </si>
  <si>
    <t>Virksomheden har en opfølgningsmekanisme for at sikre, at politikkerne bliver overholdt og opdateret regelmæssigt.</t>
  </si>
  <si>
    <t>Virksomheden har politikker, der dækker alle relevante ESG-emner, med specifikke målsætninger og handlingsplaner for hvert område.</t>
  </si>
  <si>
    <t>Virksomheden har integrerede politikker med målsætninger og handlingsplaner for at sikre ansvarlig adfærd og bæredygtighed.</t>
  </si>
  <si>
    <t>Virksomheden har implementeret politikker, der støtter virksomhedens værdier og overholder relevante lovgivningskrav.</t>
  </si>
  <si>
    <t>Virksomheden har gennemført interne revisioner og træning for at forhindre korruption og bestikkelse.</t>
  </si>
  <si>
    <t>Virksomheden har en politik for at forebygge korruption og bestikkelse, som er integreret i virksomhedens etiske retningslinjer.</t>
  </si>
  <si>
    <t>Virksomheden har dokumenteret antal domme og den samlede bødesum i sager relateret til korruption og bestikkelse.</t>
  </si>
  <si>
    <t>Afkrydsningsfelt</t>
  </si>
  <si>
    <t>Kommentarer / Bemærkninger</t>
  </si>
  <si>
    <t>Max Point</t>
  </si>
  <si>
    <t>Max Score</t>
  </si>
  <si>
    <t>Gruppevægtning</t>
  </si>
  <si>
    <t>Kriterium forkortelse</t>
  </si>
  <si>
    <t>Kriterium navn</t>
  </si>
  <si>
    <t>Kriterium vægtning (0-5)</t>
  </si>
  <si>
    <t>Samlet kriterium score</t>
  </si>
  <si>
    <t>Kortlægning og strategi for forurening</t>
  </si>
  <si>
    <t>2.1.2</t>
  </si>
  <si>
    <t>2.1.3</t>
  </si>
  <si>
    <t>2.1.4</t>
  </si>
  <si>
    <t>Virksomheden har taget stilling til, hvor den har risiko for at bidrage til miljøforurening.</t>
  </si>
  <si>
    <t>Virksomheden har en politik for forurening.</t>
  </si>
  <si>
    <t>Virksomheden har konkrete mål for reduktion af deres forurening.</t>
  </si>
  <si>
    <t>Virksomheden har en handlingsplan/strategi for, hvordan de vil opnå deres mål om mindre forurening.</t>
  </si>
  <si>
    <t>2.2</t>
  </si>
  <si>
    <t>Luftforurening</t>
  </si>
  <si>
    <t>2.2.1</t>
  </si>
  <si>
    <t>2.2.2</t>
  </si>
  <si>
    <t>2.2.3</t>
  </si>
  <si>
    <t>2.2.4</t>
  </si>
  <si>
    <t>Virksomheden registrerer og rapporterer sine NOX-, SO2- og partikeludledninger.</t>
  </si>
  <si>
    <t>Virksomheden har målsætninger for reduktion af disse emissioner inden for 3 år.</t>
  </si>
  <si>
    <t>Halvdelen af virksomhedens transport er emissionsfri.</t>
  </si>
  <si>
    <t>Over 90% af virksomhedens transport er emissionsfri.</t>
  </si>
  <si>
    <t>2.3</t>
  </si>
  <si>
    <t>Vandforurening</t>
  </si>
  <si>
    <t>2.3.1</t>
  </si>
  <si>
    <t>2.3.2</t>
  </si>
  <si>
    <t>2.3.3</t>
  </si>
  <si>
    <t>Virksomheden har dokumenteret spildevandshåndtering, inkl. Rensning.</t>
  </si>
  <si>
    <t>Halvdelen af virksomhedens spildevand renses før det ledes til kloak/natur.</t>
  </si>
  <si>
    <t>Hele virksomhedens spildevand renses før det ledes til kloak/natur.</t>
  </si>
  <si>
    <t>2.4</t>
  </si>
  <si>
    <t>Jordbundsforurening</t>
  </si>
  <si>
    <t>2.4.1</t>
  </si>
  <si>
    <t>2.4.2</t>
  </si>
  <si>
    <t>Virksomheden opbevarer alle potentielt forurenende stoffer på forsvarlig vis.</t>
  </si>
  <si>
    <t>Virksomheden har en plan for spildhåndtering og nødberedskab ved udslip.</t>
  </si>
  <si>
    <t>2.5</t>
  </si>
  <si>
    <t>Forurening af levende organismer og fødevareressourcer</t>
  </si>
  <si>
    <t>2.5.1</t>
  </si>
  <si>
    <t>Virksomheden har målsætninger for udfasning af skadelige stoffer eller praksisser med negativ indvirkning på biodiversitet.</t>
  </si>
  <si>
    <t>Problematiske og særligt problematiske stoffer</t>
  </si>
  <si>
    <t>2.6</t>
  </si>
  <si>
    <t>2.6.1</t>
  </si>
  <si>
    <t>2.6.2</t>
  </si>
  <si>
    <t>2.7</t>
  </si>
  <si>
    <t>Mikroplast</t>
  </si>
  <si>
    <t>2.7.1</t>
  </si>
  <si>
    <t>Over 90% af virksomhedens anvendte stoffer er klassificeret som ufarlige eller lavrisiko.</t>
  </si>
  <si>
    <t>Virksomheden har en liste over anvendte kemikalier og har identificeret stoffer, der er omfattet af REACH og SVCH.</t>
  </si>
  <si>
    <t>Virksomheden har teknologier eller metoder til at minimere mikroplast.</t>
  </si>
  <si>
    <t>Kortlægning og risikovurdering</t>
  </si>
  <si>
    <t>Politik og forpligtelser</t>
  </si>
  <si>
    <t>Ansvarlige samarbejdspartnere</t>
  </si>
  <si>
    <t>2.3.4</t>
  </si>
  <si>
    <t>2.3.5</t>
  </si>
  <si>
    <t>Virksomheden har identificeret og kortlagt sine væsentligste leverandører og samarbejdspartnere.</t>
  </si>
  <si>
    <t>Virksomheden har foretaget en risikovurdering af arbejdsforholdene hos disse aktører, herunder brug af børnearbejde, tvangsarbejde, uformel arbejdskraft og manglende sikkerhed.</t>
  </si>
  <si>
    <t>Virksomheden har særlig opmærksomhed på risikolande eller brancher med historisk dårlige arbejdsvilkår.</t>
  </si>
  <si>
    <t>Virksomheden har en politik for arbejdsforhold i værdikæden, som stiller krav om fx foreningsfrihed, overenskomster og rimelig løn.</t>
  </si>
  <si>
    <t>Virksomheden kræver, at leverandører skriver under på en adfærdskodeks (Code of Conduct), der dækker menneskerettigheder og arbejdsforhold.</t>
  </si>
  <si>
    <t>Virksomheden samarbejder aktivt med leverandører om at forbedre arbejdsforholdene (fx ved at tilbyde støtte, træning eller krav til forbedringer).</t>
  </si>
  <si>
    <t>Virksomheden prioriterer samarbejde med leverandører og underleverandører, der er certificerede (fx ISO 45001, SA8000, B Corp, Fairtrade e.l.).</t>
  </si>
  <si>
    <t>Virksomheden har en politik eller strategi for at vælge partnere ud fra deres arbejde med bæredygtighed og/eller ESG.</t>
  </si>
  <si>
    <t>Virksomheden vurderer løbende sine væsentlige samarbejdspartneres praksis inden for arbejdsvilkår og sociale forhold.</t>
  </si>
  <si>
    <t>Over 50 % af virksomhedens leverandører har implementeret ESG-politikker, certificeringer eller tilsvarende dokumenterede initiativer.</t>
  </si>
  <si>
    <t>Over 90 % af virksomhedens leverandører har implementeret ESG-politikker, certificeringer eller tilsvarende dokumenterede initiativer.</t>
  </si>
  <si>
    <t>Samfundsbaserede rettigheder og påvirkning</t>
  </si>
  <si>
    <t>3.2</t>
  </si>
  <si>
    <t>3.2.1</t>
  </si>
  <si>
    <t>3.2.2</t>
  </si>
  <si>
    <t>3.2.3</t>
  </si>
  <si>
    <t>Virksomheden vurderer de økonomiske, sociale og kulturelle virkninger af sine aktiviteter på de lokalsamfund, den opererer i.</t>
  </si>
  <si>
    <t>Virksomheden sikrer ordentlige boligforhold, adgang til passende fødevarer, vand og sanitet for de samfund, der påvirkes af virksomhedens aktiviteter.</t>
  </si>
  <si>
    <t>Virksomheden respekterer og beskytter borgerlige og politiske rettigheder, herunder ytrings- og forsamlingsfrihed.</t>
  </si>
  <si>
    <t>Samfudnsengagement og sponsorater</t>
  </si>
  <si>
    <t>Virksomheden sponsorerer lokale aktiviteter og initiativer, der fremmer samfundets udvikling, såsom sport, kultur og velgørenhed.</t>
  </si>
  <si>
    <t>Virksomheden har en politik for at understøtte samfundets økonomiske og sociale udvikling gennem samarbejde med lokale aktører.</t>
  </si>
  <si>
    <t>Virksomheden engagerer sig aktivt i at fremme kulturel og social udvikling i de samfund, den er en del af, gennem langsigtede partnerskaber.</t>
  </si>
  <si>
    <t>Virksomheden sikrer, at forbrugere og slutbrugere har adgang til klare og fyldestgørende oplysninger om produkter og tjenester – herunder sundhed, sikkerhed og miljøpåvirkninger.</t>
  </si>
  <si>
    <t>Virksomheden beskytter privatlivets fred og behandler personoplysninger ansvarligt og i overensstemmelse med gældende lovgivning.</t>
  </si>
  <si>
    <t>Virksomheden tager aktive skridt til at beskytte brugeres personlige sikkerhed, herunder særlig beskyttelse af børn mod skadelige produkter og markedsføring.</t>
  </si>
  <si>
    <t>Virksomheden anvender en ansvarlig markedsføringspraksis, der undgår vildledning og respekterer forbrugernes ret til oplyst valg.</t>
  </si>
  <si>
    <t>Virksomheden fremmer inklusion ved at sikre, at produkter og tjenester er tilgængelige for alle og ikke diskriminerer på baggrund af fx køn, alder, handicap eller etnicitet.</t>
  </si>
  <si>
    <t>Virksomheden arbejder aktivt for at tilpasse produkter og tjenester, så de imødekommer forskellige forbrugeres behov og understøtter lige adgang.</t>
  </si>
  <si>
    <t>4.1.3</t>
  </si>
  <si>
    <t>4.2</t>
  </si>
  <si>
    <t>4.2.1</t>
  </si>
  <si>
    <t>4.2.2</t>
  </si>
  <si>
    <t>4.2.3</t>
  </si>
  <si>
    <t>Beskyttelse af forbrugerens rettigheder og sikkerhed</t>
  </si>
  <si>
    <t>Ansvarlig markedsføring og social inklusion</t>
  </si>
  <si>
    <r>
      <t>Hvis virksomheden er involveret i eller genererer indtægter fra kontroversielle sektorer som våbenproduktion (inkl. antipersonelminer og klyngeammunition), tobaksproduktion, fossilt brændsel, kemikalieproduktion, eller er ekskluderet fra EU-referencerammer i overensstemmelse med Parisaftalen, skal virksomheden dokumentere størrelsen af disse indtægter eller aktivitet og være transparent omkring disse aktiviteter.</t>
    </r>
    <r>
      <rPr>
        <b/>
        <sz val="11"/>
        <color theme="1"/>
        <rFont val="Aptos Narrow"/>
        <family val="2"/>
        <scheme val="minor"/>
      </rPr>
      <t xml:space="preserve"> </t>
    </r>
  </si>
  <si>
    <t>Virksomheden har dokumenteret det samlede arealforbrug, herunder andele af befæstet areal og naturbaserede arealer, både på og uden for virksomhedens matrikel.</t>
  </si>
  <si>
    <t>Virksomheden har identificeret, om den opererer i eller tæt på biodiversitetsfølsomme områder, og i så fald angivet hvilke og hvor stort et areal der er påvirket.</t>
  </si>
  <si>
    <t>Virksomheden arbejder aktivt for at minimere negativ arealpåvirkning, fx ved grønne tage, regn bede, ubefæstede områder eller naturgenopretning.</t>
  </si>
  <si>
    <t>4.3.1</t>
  </si>
  <si>
    <t>4.3.2</t>
  </si>
  <si>
    <t>4.3.3</t>
  </si>
  <si>
    <t>4.3</t>
  </si>
  <si>
    <t>Indvirkning på biodiversitet og økosystemtjenester</t>
  </si>
  <si>
    <t>Virksomheden har vurderet sin påvirkning på biodiversitet gennem f.eks. lys, støj, forurening, invasive arter eller kemikalier.</t>
  </si>
  <si>
    <t>Virksomheden bidrager til at beskytte eller forbedre lokal biodiversitet gennem konkrete tiltag som fx beplantning af hjemmehørende arter, levesteder for insekter og fugle, eller partnerskaber med naturorganisationer.</t>
  </si>
  <si>
    <t>Virksomheden har vurderet, om dens aktiviteter påvirker truede arter eller økosystemtjenester (fx bestøvning, rensning af luft/vand) og dokumenteret eventuelle indsatser.</t>
  </si>
  <si>
    <t>Strategi og dokumentation</t>
  </si>
  <si>
    <t>Virksomheden har en politik for biodiversitet, som tager hensyn til biodiversiteten og økosystemerne som virksomheden påvirker.</t>
  </si>
  <si>
    <t>Virksomheden har konkrete målsætninger for biodiversitet.</t>
  </si>
  <si>
    <t>Ja</t>
  </si>
  <si>
    <t>Nej</t>
  </si>
  <si>
    <t>Impact</t>
  </si>
  <si>
    <t>Finansiel</t>
  </si>
  <si>
    <t>impact</t>
  </si>
  <si>
    <t>God forretningsskik</t>
  </si>
  <si>
    <t>Beskrivelse</t>
  </si>
  <si>
    <t>Spørgsmål</t>
  </si>
  <si>
    <t>Ikke relevant</t>
  </si>
  <si>
    <t>Finansiel væsentlighed</t>
  </si>
  <si>
    <t>Impact væsentlighed</t>
  </si>
  <si>
    <t>Risikerer virksomheden produktionsstop, kvalitetsproblemer eller leveranceforstyrrelser pga. dårlige arbejdsforhold i værdikæden?</t>
  </si>
  <si>
    <t>CO2e-beregning opdelt i scope 1 og 2.</t>
  </si>
  <si>
    <t>Hoved-Dokumentation</t>
  </si>
  <si>
    <t>CO2e-beregning opdelt i scope 1, 2 og 3.</t>
  </si>
  <si>
    <t>Virksomheden har en strategi for, hvordan de vil opnå deres CO2e-reduktionsmål.</t>
  </si>
  <si>
    <t>Samlet overblik over energiforbrug fordelt på energikilder.</t>
  </si>
  <si>
    <t>Nedskreven strategi.</t>
  </si>
  <si>
    <t>Nedskrevne mål med tidsramme.</t>
  </si>
  <si>
    <t>Nedskreven politik.</t>
  </si>
  <si>
    <t>Kopi af/link til gyldigt energimærke</t>
  </si>
  <si>
    <t>Virksomheden har dokumenteret energimærkningen af størstedelen af sine bygninger.</t>
  </si>
  <si>
    <t>Kopi af/link til gyldige energimærker og opvarmet etagearealer. Eller kriterie 1.3.3</t>
  </si>
  <si>
    <t>Kopi af/link til gyldige energimærker og opvarmet etagearealer. Eller kriterie 1.3.5.</t>
  </si>
  <si>
    <t>Kopi af/link til gyldige energimærker og opvarmet etagearealer. Eller kriterie 1.3.4.</t>
  </si>
  <si>
    <t>Kopi af/link til gyldige energimærker og opvarmet etagearealer. Eller kriterie 1.3.3.</t>
  </si>
  <si>
    <t>Vurdering i form af rapport eller lign.</t>
  </si>
  <si>
    <t>Typiske brancher</t>
  </si>
  <si>
    <t>Gælder direkte udledning fra drift, f.eks. partikler (PM), NOx, SO₂, tungmetaller, næringsstoffer, olie, kemikalier mv. Gælder også udledning fra firmatransport og entreprenørmaskiner, hvis de bruger fossile brændsler og ikke har renseteknologi. Gælder ikke CO₂ eller andre drivhusgasser – de vurderes under E1.</t>
  </si>
  <si>
    <t xml:space="preserve">	Bruger eller producerer virksomheden kemikalier klassificeret som miljøfarlige?</t>
  </si>
  <si>
    <t>Omfatter f.eks. PFAS, pesticider, tungmetaller, akvatoksiske stoffer, olier, opløsningsmidler eller kemikalier mærket med miljøfare (GHS09). Almindelige kontorartikler og husholdningsmidler i små mængder tæller ikke.</t>
  </si>
  <si>
    <t>Produktion, industri, byggeri, landbrug, transport, fødevare, varmeværker</t>
  </si>
  <si>
    <t>Kemi, plast, rengøring, landbrug, medicinal, produktion, maling/lak</t>
  </si>
  <si>
    <t>Industri, fødevare, metal, tekstil, affaldsbehandling, vaskerier, byggeri</t>
  </si>
  <si>
    <t xml:space="preserve">	Håndterer virksomheden processpildevand, farligt affald eller luftfiltrering?</t>
  </si>
  <si>
    <t>Dækker hvis virksomheden selv står for behandling, opbevaring eller bortledning af stoffer, der skal håndteres miljømæssigt forsvarligt – fx via renseanlæg, filtre, affaldssortering, beholdere til olie eller kemikalier.</t>
  </si>
  <si>
    <t>Skaber virksomhedens aktiviteter målelig støj-, lys- eller lugtforurening i omgivelserne?</t>
  </si>
  <si>
    <t>Gælder fx støj fra maskiner, trafik, byggepladser eller events; lysforurening fra natbelysning; lugtgener fra produktion eller affald. Ikke almindelig kontoraktivitet eller internt støjniveau.</t>
  </si>
  <si>
    <t>Transport, events, restauranter, byggeri, produktion, landbrug</t>
  </si>
  <si>
    <t xml:space="preserve">	Har virksomheden indflydelse på valg af materialer i produkter eller projekter, hvor miljøskadelige stoffer kan indgå?</t>
  </si>
  <si>
    <t>Arkitekter, ingeniører, designere, konsulenter, entreprenører, byggeri</t>
  </si>
  <si>
    <t>Påfører virksomhedens udledning til luft, jord eller vand omkostninger eller krav fra myndigheder?</t>
  </si>
  <si>
    <t>Ja, hvis der er udledning fra drift (f.eks. partikler, NOx, olie, tungmetaller, kemikalier, næringsstoffer), som kræver tilladelser, kontrol, afgifter, oprensning, eller investering i rense-/filterudstyr. Gælder også udledning fra firmakøretøjer, maskiner eller spildevand.</t>
  </si>
  <si>
    <t>Produktion, landbrug, byggeri, transport, affald, fødevare, varmeværker</t>
  </si>
  <si>
    <t>Bruger virksomheden miljøfarlige stoffer, der kan blive ramt af forbud, begrænsninger eller skærpede krav?</t>
  </si>
  <si>
    <t>Ja, hvis virksomheden bruger stoffer, der er klassificeret som miljøfarlige (fx PFAS, pesticider, bly, opløsningsmidler, olier, kemikalier mærket GHS09), og disse kan blive begrænset, kræve substitution eller dokumentation.</t>
  </si>
  <si>
    <t>Kemi, plast, rengøring, medicinal, landbrug, tekstil, produktion, maling</t>
  </si>
  <si>
    <t>Møder virksomheden kundekrav eller udbudsbetingelser, hvor dokumentation eller begrænsning af forurening er påkrævet?</t>
  </si>
  <si>
    <t>Ja, hvis virksomheden skal dokumentere lav forurening (f.eks. miljøvaredeklaration, svanemærkning, REACH, ISO 14001) for at opnå eller fastholde ordrer, certificeringer eller udbud.</t>
  </si>
  <si>
    <t>Byggeri, eksport, B2B-produktion, rådgivere, møbel, tekstil, fødevare</t>
  </si>
  <si>
    <t>Tilbyder virksomheden produkter eller ydelser, der reducerer miljøforurening ift. standardløsninger?</t>
  </si>
  <si>
    <t>Cleantech, affald, teknologi, produktionsudstyr, rådgivning, byggeri</t>
  </si>
  <si>
    <t xml:space="preserve">	Kan virksomheden opnå tilskud, skattelettelser, mærkning eller grønne indkøbsaftaler som kræver dokumenterbar lav miljøforurening?</t>
  </si>
  <si>
    <t>Ja, hvis virksomheden er omfattet af eller kan opnå konkrete økonomiske fordele (tilskud, grønne ordninger, præferencer i udbud), hvor adgang er betinget af dokumenteret lav udledning eller fravær af miljøfarlige stoffer.</t>
  </si>
  <si>
    <t>Grøn teknologi, eksportvirksomheder, byggeri, cleantech, miljømærkede produkter</t>
  </si>
  <si>
    <t>Udleder virksomheden forurenedne stoffer til luft, jord eller vand?</t>
  </si>
  <si>
    <t>Ja, hvis virksomheden producerer eller sælger løsninger, der beviseligt reducerer forurening (fx lav-emissionsprodukter, kemikaliefri alternativer, filtrering, grøn transport, rådgivning i substitution). Gælder kun hvis dokumentationen foreligger eller kræves af kunder.</t>
  </si>
  <si>
    <t>Omfatter hvor virksomheden designer, specificerer eller anbefaler materialer, f.eks. maling, lim, plasttyper eller byggematerialer. Gælder ikke videresalg uden indflydelse på valg.</t>
  </si>
  <si>
    <t>Er virksomhedens drift afhængig af adgang til vand i tilstrækkelig mængde og kvalitet?</t>
  </si>
  <si>
    <t>Gælder hvis virksomheden bruger vand i produktion, processer, køling, rengøring, landbrug eller anden drift, hvor vandforbruget er væsentligt. Ikke relevant ved almindelig kontoraktivitet.</t>
  </si>
  <si>
    <t>Omfatter egne lokationer og nøgleleverandører i regioner med dokumenteret vandknaphed, f.eks. Sydeuropa, visse dele af Afrika, Asien eller tørkeramte danske egne.</t>
  </si>
  <si>
    <t>Gælder f.eks. udledning fra rensningsanlæg, transport til søs, offshoreaktiviteter eller affaldshåndtering i havmiljøet. Inkluderer også erosion eller forstyrrelse af kystzoner.</t>
  </si>
  <si>
    <t>Gælder kommercielt fiskeri, akvakultur, tangproduktion eller tilsvarende aktiviteter, uanset om det er direkte eller via underleverandører.</t>
  </si>
  <si>
    <t>Omfatter aktiviteter der kan føre til udledning eller afstrømning af miljøfarlige stoffer til vandløb, grundvand eller havmiljø. Gælder også indirekte påvirkning gennem leverandører.</t>
  </si>
  <si>
    <t>Kan virksomhedens aktiviteter forurene vandmiljøet, f.eks. via kemikalier, affald, gødning eller pesticider?</t>
  </si>
  <si>
    <t>Er virksomheden aktiv i fiskeri, havbrug eller udnyttelse af marine ressourcer (fisk, skaldyr, tang mv.)?</t>
  </si>
  <si>
    <t>Udleder virksomheden stoffer eller affald til havet, eller har aktiviteter til søs eller i kystnære områder?</t>
  </si>
  <si>
    <t>Har virksomheden drift eller forsyning i områder med vandmangel eller risiko for tørke?</t>
  </si>
  <si>
    <t>Bruger virksomheden vand i driften ud over almindeligt kontorforbrug (toilet, rengøring, kaffe mv.)?</t>
  </si>
  <si>
    <t>Produktion, landbrug, energi, fødevare, tekstil, metal, vaskerier</t>
  </si>
  <si>
    <t>Landbrug, tekstil, eksport, fødevare, byggeri</t>
  </si>
  <si>
    <t>Skibsfart, offshore, affald, byggeri, turisme, akvakultur</t>
  </si>
  <si>
    <t>Fiskeri, akvakultur, fødevarer, eksport</t>
  </si>
  <si>
    <t>Landbrug, byggeri, kemi, rengøring, produktion, tekstil</t>
  </si>
  <si>
    <t>Kan vandkvalitet eller forurening påvirke virksomhedens produkter, råvarer eller processer?</t>
  </si>
  <si>
    <t>Kan krav til vandforbrug eller spildevandshåndtering påvirke virksomhedens driftsomkostninger?</t>
  </si>
  <si>
    <t>Er virksomheden eller dens infrastruktur i risiko for havrelaterede klimaeffekter (oversvømmelse, stormflod, havspejl)?</t>
  </si>
  <si>
    <t>Kan adgang til hav- eller vandressourcer blive begrænset af udtømning eller regulering og påvirke virksomhedens forsyning?</t>
  </si>
  <si>
    <t>Gælder hvor vand er nødvendigt for driften – f.eks. i produktion, rengøring, køling, vanding eller ingredienser. Også relevant hvis forurening eller knaphed kan forstyrre produktionen.</t>
  </si>
  <si>
    <t>Gælder f.eks. hvis produktkvalitet afhænger af rent vand (fødevarer, tekstiler), eller hvis råvarer bliver forurenet ved kontakt med vand.</t>
  </si>
  <si>
    <t>Omfatter f.eks. spildevandsafgifter, investeringskrav i renseudstyr, målere, påbud, certificeringer eller miljøgodkendelser.</t>
  </si>
  <si>
    <t>Gælder hvis lokationer, veje, leverandører eller anden kritisk drift er i lavtliggende eller kystnære områder med risiko for havstigning eller stormskader.</t>
  </si>
  <si>
    <t>Gælder hvis virksomheden er afhængig af ressourcer som fisk, sand, ferskvand, salt eller råstoffer fra havet, og disse kan blive begrænset af myndigheder eller miljøforhold.</t>
  </si>
  <si>
    <t>Produktion, landbrug, vaskerier, fødevarer, kemi</t>
  </si>
  <si>
    <t>Fødevarer, tekstil, kemi, energi, metal</t>
  </si>
  <si>
    <t>Produktion, industri, landbrug, fødevare, byggeri</t>
  </si>
  <si>
    <t>Kystnær industri, havne, logistik, turisme, ejendomme</t>
  </si>
  <si>
    <t>Fiskeri, byggeri, kemi, tekstil, fødevarer, eksport</t>
  </si>
  <si>
    <t>Dette gælder hvis virksomheden bygger nyt, anlægger infrastruktur, driver landbrug, skovbrug, råstofudvinding eller har indflydelse på andres arealanvendelse (f.eks. gennem rådgivning, investering eller produktkrav). Gælder også hvis virksomheden ejer grunde eller bygninger med betydelig udstrækning eller planlægger nybyggeri.</t>
  </si>
  <si>
    <t>Byggeri, landbrug, råstofudvinding, skovbrug, transport, ejendomsudvikling, rådgivning</t>
  </si>
  <si>
    <t>Dækker fx brug, indkøb eller salg af materialer, fødevarer eller råvarer, der stammer fra naturen – f.eks. træ, fisk, mineraler, sand, grus, vand, jord eller landbrugsvarer. Gælder også hvis virksomheden indgår i værdikæder, hvor sådanne ressourcer udvindes.</t>
  </si>
  <si>
    <t>Landbrug, fødevare, byggeri, tekstil, handel, produktion, engros</t>
  </si>
  <si>
    <t>Omfatter udledning af stoffer (f.eks. pesticider, næringsstoffer, kemikalier) eller forurening med støj, lys eller lugt, der påvirker dyreliv eller naturens balance. Gælder både direkte drift og transport, men ikke almindelig kontordrift.</t>
  </si>
  <si>
    <t>Byggeri, produktion, transport, events, landbrug, affald</t>
  </si>
  <si>
    <t>Gælder hvis virksomheden beskæftiger sig med biologiske materialer – herunder fødevarer, trævarer, landbrugsprodukter, frø, blomster, husdyr eller fisk.</t>
  </si>
  <si>
    <t>Landbrug, fødevare, handel, træindustri, medicinal, detail</t>
  </si>
  <si>
    <t>Omfatter risiko for spredning af arter eller sygdomme via transport, import, jordflytning, planter, dyr, emballage eller maskiner – også indirekte gennem leverandører eller kunder.</t>
  </si>
  <si>
    <t>Byggeri, transport, handel med planter/dyr, import, affald</t>
  </si>
  <si>
    <t>Påvirker eller ændrer virksomheden arealer direkte gennem byggeri, produktion, landbrug mv. – eller indirekte gennem indflydelse på andres arealanvendelse?</t>
  </si>
  <si>
    <t>Bruger, sælger eller specificerer virksomheden naturressourcer som træ, fisk, sand, jord, grus eller landbrugsprodukter – direkte eller gennem værdikæden?</t>
  </si>
  <si>
    <t>Har virksomhedens aktiviteter udledning eller påvirkning, som kan forringe naturen – f.eks. støj, lys, luftforurening eller udslip til jord og vand?</t>
  </si>
  <si>
    <t>Håndterer, forarbejder eller sælger virksomheden produkter, der stammer fra levende organismer – f.eks. træ, planter, fødevarer eller dyr?</t>
  </si>
  <si>
    <t>Er der risiko for, at virksomhedens aktiviteter (f.eks. import, transport, jordarbejde) kan sprede invasive arter eller sygdomme i naturen?</t>
  </si>
  <si>
    <t>Er virksomheden afhængig af naturressourcer, som kan blive udtømt eller forringet?</t>
  </si>
  <si>
    <t>Kan virksomhedens aktiviteter blive forsinket eller begrænset af regler om naturbeskyttelse eller habitatlovgivning?</t>
  </si>
  <si>
    <t>Har virksomheden risiko for at blive forbundet med negativ påvirkning af biodiversitet eller natur?</t>
  </si>
  <si>
    <t>Kan krav om naturgenopretning, kompensation eller biodiversitetsregnskaber påføre virksomheden ekstra omkostninger?</t>
  </si>
  <si>
    <t>Har virksomheden mulighed for at udvikle nye produkter eller tjenester baseret på naturbaserede løsninger eller fremme af biodiversitet?</t>
  </si>
  <si>
    <t>Gælder hvis virksomheden er afhængig af adgang til f.eks. rent vand, frugtbar jord, bestemte fiskebestande, træsorter eller økosystemydelser (som bestøvning, naturlig vandrensning).</t>
  </si>
  <si>
    <t>Dækker fx byggestop, krav til VVM-redegørelser, restriktioner i fredede eller beskyttede områder, eller hvis virksomheden skal indhente særlige tilladelser pga. påvirkning af biodiversitet.</t>
  </si>
  <si>
    <t>Gælder hvis virksomhedens aktiviteter (eller dens leverandørers) kan forbindes med rydning af skov, tab af levesteder, trussel mod arter eller nedbrydning af økosystemer.</t>
  </si>
  <si>
    <t>Omfatter omkostninger til naturgenopretning, etablering af grønne områder, kompensation for indgreb, samt fremtidige krav om at dokumentere biodiversitetspåvirkning i regnskaber.</t>
  </si>
  <si>
    <t>Dækker f.eks. løsninger til regnvandshåndtering, grønne tage, økologiske produkter, rådgivning i naturvenligt design eller investering i biodiversitet som forretningsmulighed.</t>
  </si>
  <si>
    <t>Landbrug, fødevare, produktion, tekstil, medicinal</t>
  </si>
  <si>
    <t>Byggeri, anlæg, vindmøller, råstofudvinding, transport</t>
  </si>
  <si>
    <t>Fødevare, skovbrug, landbrug, byggeri, transport, tekstil</t>
  </si>
  <si>
    <t>Byggeri, råstofudvinding, kommuner, energiprojekter, infrastruktur</t>
  </si>
  <si>
    <t>Byggeri, rådgivning, cleantech, fødevare, arkitektur, landskabsdesign</t>
  </si>
  <si>
    <t>Producerer eller forarbejder virksomheden fysiske produkter eller materialer?</t>
  </si>
  <si>
    <t>Producerer virksomheden affald ud over almindeligt kontoraffald fra ansatte?</t>
  </si>
  <si>
    <t xml:space="preserve">	Har virksomheden direkte eller indirekte indflydelse på materialevalg i produkter og projekter?</t>
  </si>
  <si>
    <t xml:space="preserve">	Arbejder virksomheden i en branche med højt potentiale for genbrug, genanvendelse eller upcycling?</t>
  </si>
  <si>
    <t xml:space="preserve">	Producerer, pakker eller handler virksomheden med produkter med emballage?</t>
  </si>
  <si>
    <t>Gælder hvis virksomheden selv fremstiller eller bearbejder produkter, råvarer, halvfabrikata eller materialer – uanset skala.</t>
  </si>
  <si>
    <t>Gælder hvis virksomheden genererer produktionsaffald, emballage, organisk affald, byggeaffald eller lignende.</t>
  </si>
  <si>
    <t>Gælder både ved direkte ansvar (produktion, design) og indirekte (rådgivning, kravspecifikation, indkøbspolitik).</t>
  </si>
  <si>
    <t>Gælder f.eks. hvor store mængder materialer, emballage eller komponenter kan genbruges, recirkuleres eller upcycles.</t>
  </si>
  <si>
    <t>Gælder både hvis man fremstiller, fylder eller sælger varer med emballage – også som underleverandør.</t>
  </si>
  <si>
    <t>Produktion, byggeri, industri, fødevare, håndværk</t>
  </si>
  <si>
    <t>Produktion, byggeri, fødevare, events, sundhed</t>
  </si>
  <si>
    <t>Produktion, byggeri, rådgivere, entreprenører, arkitekte</t>
  </si>
  <si>
    <t>Byggeri, mode, produktion, møbler, elektronik</t>
  </si>
  <si>
    <t>Fødevare, handel, detail, kosmetik, produktion</t>
  </si>
  <si>
    <t>Kan krav om øget affaldssortering, dokumentation eller genanvendelse påføre virksomheden ekstra omkostninger?</t>
  </si>
  <si>
    <t xml:space="preserve">	Risikerer virksomheden at blive ramt af nye affaldsafgifter eller udvidet producentansvar?</t>
  </si>
  <si>
    <t>Kan materialemangel eller udsving i råvarepriser påvirke virksomhedens økonomi eller forsyning?</t>
  </si>
  <si>
    <t xml:space="preserve">	Har virksomheden mulighed for at opnå fordele gennem cirkulære løsninger, genbrug eller materialeeffektivitet?</t>
  </si>
  <si>
    <t xml:space="preserve">	Møder virksomheden krav fra kunder eller samarbejdspartnere om lavt ressourceforbrug eller affaldshåndtering?</t>
  </si>
  <si>
    <t>Omfatter krav fra lovgivning eller kunder om sporbarhed, affaldshåndtering, genanvendelse eller miljøvenlige materialer.</t>
  </si>
  <si>
    <t>Gælder f.eks. plastafgifter, producentansvar for emballage eller elektronisk affald, samt ændringer i affaldslovgivning.</t>
  </si>
  <si>
    <t>Gælder hvis virksomhedens drift afhænger af stabile priser eller adgang til bestemte materialer, råvarer eller komponenter.</t>
  </si>
  <si>
    <t>Gælder hvis virksomheden kan optimere indtjening, kundetilfredshed eller produktudvikling gennem cirkulære tiltag.</t>
  </si>
  <si>
    <t>Omfatter krav i udbud, kontrakter, partnerskaber eller kundepræferencer – f.eks. ifm. grønne indkøb eller bæredygtighedscertificeringer.</t>
  </si>
  <si>
    <t>Byggeri, produktion, fødevare, transport, events</t>
  </si>
  <si>
    <t>Produktion, detail, engros, elektronik, fødevare</t>
  </si>
  <si>
    <t>Produktion, byggeri, elektronik, tekstil, medicinal</t>
  </si>
  <si>
    <t>Produktion, byggeri, cleantech, møbelindustri, fødevare</t>
  </si>
  <si>
    <t>Leverandører, rådgivere, produktion, byggeri, engros</t>
  </si>
  <si>
    <t>Har virksomheden én eller flere ansatte – uanset om de er fuldtid, deltid eller midlertidige?</t>
  </si>
  <si>
    <t>Har nogen af virksomhedens ansatte opgaver, hvor efter- eller videreuddannelse er nødvendig for at opretholde kvalifikationer, sikkerhed eller lovkrav?</t>
  </si>
  <si>
    <t>Har virksomheden ansatte, der udfører fysisk arbejde med risiko for arbejdsskader?</t>
  </si>
  <si>
    <t>Gælder alle typer ansatte i ind- og udland. Enkeltmandsvirksomheder uden ansatte kan svare nej.</t>
  </si>
  <si>
    <t>F.eks. VVS’ere med krav om autorisation, faglærte med opkvalificering, ansatte i sundhed eller rådgivning, der skal være opdateret.</t>
  </si>
  <si>
    <t>F.eks. hvis ansatte arbejder i, eller virksomhed har produktion/samarbejde i lande som Kina, Bangladesh, Indien, Brasilien, Tyrkiet eller visse dele af Østeuropa og Afrika.</t>
  </si>
  <si>
    <t>F.eks. arbejde med maskiner, tunge løft, fysisk belastning, håndtering af farlige stoffer, varme, støj eller kundekonflikter.</t>
  </si>
  <si>
    <t>Gælder hvis arbejdstiderne afviger fra almindelig kontortid som standard – ikke bare i særlige tilfælde.</t>
  </si>
  <si>
    <t>Har virksomheden ansatte, der arbejder i lande eller lokationer med høj risiko for brud på arbejdstagerrettigheder? Glæder også underfirmaer.</t>
  </si>
  <si>
    <t>Alle</t>
  </si>
  <si>
    <t xml:space="preserve">	Har virksomheden ansatte, der arbejder på skæve tidspunkter – f.eks. Aften, nat, tidlig morgen, aften eller weekender – som en del af den normale drift?</t>
  </si>
  <si>
    <t>Håndværk, rådgivning, sundhed, undervisning, transport, butik</t>
  </si>
  <si>
    <t>Tekstil, produktion, landbrug, byggeri, handel</t>
  </si>
  <si>
    <t>Byggeri, håndværk, detail, industri, restauration</t>
  </si>
  <si>
    <t>Hotel, restauration, transport, sundhed, rengøring, beredskab</t>
  </si>
  <si>
    <t>Er virksomhedens drift afhængig af medarbejdere, hvor fravær (f.eks. ved sygdom, ulykker eller stress) kan påvirke produktion, service eller bemanding?</t>
  </si>
  <si>
    <t>Kan vanskeligheder med rekruttering, fastholdelse eller lav medarbejdertilfredshed føre til øgede omkostninger eller kapacitetsproblemer?</t>
  </si>
  <si>
    <t xml:space="preserve">	Er virksomheden aktiv i brancher eller områder, hvor attraktive løn- og arbejdsvilkår er afgørende for at tiltrække kvalificeret arbejdskraft?</t>
  </si>
  <si>
    <t xml:space="preserve">	Kan lav medarbejdertrivsel, oplevet diskrimination eller manglende ligestilling udgøre en omdømmerisiko eller føre til tab af kunder?</t>
  </si>
  <si>
    <t>Gælder hvis arbejdsopgaver ikke nemt kan varetages af andre – f.eks. pga. specialkompetencer, lav bemanding eller korte deadlines</t>
  </si>
  <si>
    <t>Dækker f.eks. brancher med høj udskiftning, lav arbejdskrafttilgængelighed eller svag medarbejderloyalitet.</t>
  </si>
  <si>
    <t>Gælder ved mangel på kvalificerede medarbejdere, eller hvor arbejdsvilkår er konkurrenceparameter.</t>
  </si>
  <si>
    <t>Gælder især udenlandsk produktion, import eller outsourcing i højrisikosektorer og -lande, hvor virksomheden bærer ansvar i kæden.</t>
  </si>
  <si>
    <t>Gælder f.eks. hvis virksomheden er eksponeret i medier, arbejder med offentlige eller store kunder, eller har politikker på området.</t>
  </si>
  <si>
    <t>Produktion, sundhed, byggeri, detail, kontor</t>
  </si>
  <si>
    <t>It, byggeri, sundhed, detail, undervisning</t>
  </si>
  <si>
    <t>Teknik, sundhed, rådgivning, håndværk</t>
  </si>
  <si>
    <t>Offentlige leverandører, konsulenter, retail, tech</t>
  </si>
  <si>
    <t>Tekstil, elektronik, byggeri, fødevarer, detail</t>
  </si>
  <si>
    <t>Har virksomheden leverandører eller underleverandører i lande eller brancher med svag beskyttelse af arbejdstagerrettigheder?</t>
  </si>
  <si>
    <t>Gælder samarbejde i højrisikoområder – f.eks. Bangladesh, Kina, Indien, Tyrkiet, Brasilien eller dele af Afrika og Østeuropa.</t>
  </si>
  <si>
    <t>Tekstil, elektronik, byggeri, detail, landbrug</t>
  </si>
  <si>
    <t>Benytter virksomheden andre virksomheder til regelmæssig drift – f.eks. uden fastansatte eller via outsourcing?</t>
  </si>
  <si>
    <t>Omfatter brug af rengøringsfirmaer, vikarer, selvstændige chauffører eller freelancere i daglig drift.</t>
  </si>
  <si>
    <t>Transport, rengøring, byggeri, service, events</t>
  </si>
  <si>
    <t>Udfører virksomhedens leverandører fysisk arbejde med risiko for arbejdsskader?</t>
  </si>
  <si>
    <t>F.eks. arbejde med maskiner, farlige stoffer, tunge løft, højder, varme eller kundekontakt.</t>
  </si>
  <si>
    <t>Produktion, byggeri, affald, handel, fødevarer</t>
  </si>
  <si>
    <t>Har virksomhedens krav – f.eks. lave priser, korte deadlines eller høj fleksibilitet – potentiel negativ indflydelse på arbejdsforhold i kæden?</t>
  </si>
  <si>
    <t>Gælder hvis virksomhedens krav indirekte kan føre til overarbejde, lav løn eller lav sikkerhed hos leverandører.</t>
  </si>
  <si>
    <t>Handel, mode, fødevarer, byggeprojekter</t>
  </si>
  <si>
    <t>F.eks. gennem audit, spørgeskemaer, due diligence eller krav om dokumentation.</t>
  </si>
  <si>
    <t>Tekstil, retail, produktion, fødevarer, industri</t>
  </si>
  <si>
    <t>Gælder hvor kvalitet, leveringstid eller kapacitet påvirkes af personaleforhold hos leverandøren.</t>
  </si>
  <si>
    <t>Produktion, elektronik, fødevarer, byggeri</t>
  </si>
  <si>
    <t>Er virksomheden afhængig af leverandører, hvor dårlige arbejdsvilkår kan føre til fejl, lav produktivitet, forsinkelser eller leveranceproblemer?</t>
  </si>
  <si>
    <t>Dækker f.eks. højt fravær, lav bemanding, høj udskiftning eller manglende oplæring hos leverandører, som påvirker kvalitet og tid.</t>
  </si>
  <si>
    <t>Produktion, elektronik, byggeri, tekstil, fødevarer</t>
  </si>
  <si>
    <t>Har virksomheden begrænset indsigt i eller kontrol over arbejdsforholdene hos væsentlige underleverandører?</t>
  </si>
  <si>
    <t>Gælder især hvis der er mange led i kæden, brug af agenter, eller uklare kontrakter, hvor relationen er indirekte eller skifter ofte.</t>
  </si>
  <si>
    <t>Handel, tekstil, elektronik, transport, e-commerce</t>
  </si>
  <si>
    <t>Skal virksomheden dokumentere arbejdsforhold i værdikæden over for kunder, investorer eller myndigheder?</t>
  </si>
  <si>
    <t>F.eks. via CSRD, forsyningskædelove, krav i offentlige udbud eller partnerskabsaftaler.</t>
  </si>
  <si>
    <t>Rådgivning, produktion, detail, eksport</t>
  </si>
  <si>
    <t>Kan investering i bedre arbejdsforhold hos leverandører give økonomiske fordele – f.eks. lavere risiko, bedre kvalitet eller leveringssikkerhed?</t>
  </si>
  <si>
    <t>F.eks. gennem lavere udskiftning, færre fejl eller mere stabile relationer.</t>
  </si>
  <si>
    <t>Mode, byggeri, tech, detail, specialproduktion</t>
  </si>
  <si>
    <t>Har virksomheden aktiviteter, projekter eller beslutninger, der fysisk påvirker lokalsamfund (f.eks. gennem støj, trafik, byggeri, udledning eller arealbrug)?</t>
  </si>
  <si>
    <t>Indgår virksomheden i projekter, hvor der bygges større anlæg, faciliteter eller infrastruktur tæt på beboelse eller følsomme områder?</t>
  </si>
  <si>
    <t>Gælder både direkte og indirekte påvirkning – f.eks. via rådgivning, projektering eller udvikling.</t>
  </si>
  <si>
    <t>Gælder også hvis virksomheden er bygherre, lejer eller bestiller et anlæg.</t>
  </si>
  <si>
    <t>Rådgivning, byggeri, produktion, festivaler, events, infrastruktur</t>
  </si>
  <si>
    <t>Ejendomsudvikling, industri, forsyning, logistik, sport, events</t>
  </si>
  <si>
    <t>Råstofindvinding, landbrug, byggeri, produktion, energi</t>
  </si>
  <si>
    <t>Er virksomhedens aktiviteter placeret i eller tæt på lokalsamfund med høj følsomhed (f.eks. lav indkomst, sundhedsrisici, kulturel betydning eller oprindelige folk)?</t>
  </si>
  <si>
    <t>Er virksomhedens drift afhængig af adgang til lokale naturressourcer som vand, landareal eller biodiversitet?</t>
  </si>
  <si>
    <t>Landbrug, fødevarer, produktion, turisme</t>
  </si>
  <si>
    <t>Har virksomheden en betydelig fysisk tilstedeværelse i lokalområder (f.eks. fabrik, hotel, kontor eller butik), som giver mulighed for at støtte det lokale samfund?</t>
  </si>
  <si>
    <t>Industri, butik, hoteller, restauranter, pleje</t>
  </si>
  <si>
    <t>Infrastruktur, produktion, affald, råstof, logistik</t>
  </si>
  <si>
    <t>Forsyning, produktion, sundhed, byggeri, transport</t>
  </si>
  <si>
    <t>Byggeri, festivaler, produktion, turisme</t>
  </si>
  <si>
    <t>Alle brancher med faste anlæg, især tæt på kyst eller lavtliggende områder</t>
  </si>
  <si>
    <t xml:space="preserve">Der kan anvendes offentligt tilgængelige kortdata, lokal viden eller NGO-rapporter som vurderingsgrundlag.	</t>
  </si>
  <si>
    <t xml:space="preserve">Gælder både direkte brug og afledning – f.eks. forbrug af lokalt vand, adgangsveje, støjzoner.	</t>
  </si>
  <si>
    <t xml:space="preserve">Gælder kun hvis virksomheden er fast til stede og har reelle muligheder – ikke symbolsk støtte.	</t>
  </si>
  <si>
    <t xml:space="preserve">Risikerer virksomheden modstand, klager eller forsinkelser fra lokalsamfund pga. dens aktiviteter, udbygning eller tilstedeværelse?	</t>
  </si>
  <si>
    <t xml:space="preserve">Kan ændringer i lokale forhold (f.eks. adgang til arbejdskraft, infrastruktur, politik eller regulering) påvirke virksomhedens drift?	</t>
  </si>
  <si>
    <t xml:space="preserve">Er virksomheden afhængig af lokalt netværk (f.eks. vandforsyning, el, affald, transport), der kan være sårbart ved belastning eller nedbrud?	</t>
  </si>
  <si>
    <t xml:space="preserve">Har virksomheden fysiske faciliteter i områder med høj risiko for naturkatastrofer, oversvømmelse eller klimarelaterede hændelser?	</t>
  </si>
  <si>
    <t xml:space="preserve">Er virksomhedens aktiviteter afhængige af accept, samarbejde eller støtte fra lokale interessenter – f.eks. naboer, borgere, lokalt erhvervsliv eller kommune?	</t>
  </si>
  <si>
    <t xml:space="preserve">F.eks. klager over støj, naboprotester, retssager, demonstrationer eller modstand mod byggeri.	</t>
  </si>
  <si>
    <t xml:space="preserve">Gælder hvis virksomheden er afhængig af lokal kapacitet, adgangsforhold eller kommunal tilladelse.	</t>
  </si>
  <si>
    <t xml:space="preserve">Gælder særligt små samfund eller egne netværk, hvor systemet let overbelastes.	</t>
  </si>
  <si>
    <t xml:space="preserve">Brug f.eks. nationale risikokort over oversvømmelse, skovbrand eller storme.	</t>
  </si>
  <si>
    <t xml:space="preserve">Gælder især ved udvidelser, lokal synlighed eller CSR-indsats.	</t>
  </si>
  <si>
    <t xml:space="preserve">Byggeri, rådgivning, events, butik, transport, infrastruktur
</t>
  </si>
  <si>
    <t xml:space="preserve">Har virksomheden direkte forbrugere eller slutbrugere af sine produkter eller ydelser?	</t>
  </si>
  <si>
    <t xml:space="preserve">Kan virksomhedens produkter eller ydelser påvirke sundhed, sikkerhed eller trivsel hos slutbrugeren?	</t>
  </si>
  <si>
    <t xml:space="preserve">Kan fejl, svigt eller mangler i virksomhedens produkter eller ydelser føre til fysisk eller psykisk skade for slutbrugeren?	</t>
  </si>
  <si>
    <t xml:space="preserve">Er virksomhedens produkter eller ydelser rettet mod slutbrugere, der kan være særligt sårbare – f.eks. børn, ældre eller syge?	</t>
  </si>
  <si>
    <t xml:space="preserve">Når virksomhedens produkter eller ydelser frem til slutbrugeren uden at gå gennem andre virksomheder, der bearbejder, videresælger eller pakker dem?	</t>
  </si>
  <si>
    <t xml:space="preserve">Gælder kun hvis slutbrugeren er den endelige bruger – ikke ved salg gennem mellemled uden kontakt til slutbrugeren.	</t>
  </si>
  <si>
    <t xml:space="preserve">F.eks. tekniske løsninger, rådgivning, fødevarer, kemikalier eller byggeri, hvor fejl kan føre til skader eller helbredspåvirkninger.	</t>
  </si>
  <si>
    <t xml:space="preserve">Dækker f.eks. teknisk udstyr, rådgivning, byggematerialer, sikkerhedsprodukter eller medicin.	</t>
  </si>
  <si>
    <t xml:space="preserve">Gælder hvis målgruppen eller en væsentlig del af slutbrugerne har behov for særlig beskyttelse.	</t>
  </si>
  <si>
    <t xml:space="preserve">Gælder f.eks. direkte salg eller egne butikker, ikke hvis produktet går gennem grossister eller partnere, før det når forbrugeren.	</t>
  </si>
  <si>
    <t>Fødevarer, detail, rådgivning til private, boligudlejning, sundhedsydelser</t>
  </si>
  <si>
    <t>Byggeri, VVS, el, fødevarer, sundhed, kemi, rådgivning</t>
  </si>
  <si>
    <t>Teknologi, byggeri, rådgivning, fødevarer, sundhed</t>
  </si>
  <si>
    <t>Sundhed, børneprodukter, ældrepleje, fødevarer, legetøj</t>
  </si>
  <si>
    <t>Fødevarer, detail, e-handel, rådgivning</t>
  </si>
  <si>
    <t>Rådgivning, byggeri, fødevarer, sundhed, tech</t>
  </si>
  <si>
    <t>Fødevarer, medicin, elektronik, software</t>
  </si>
  <si>
    <t>Rådgivning, finans, byggeri, sundhed</t>
  </si>
  <si>
    <t>Fødevarer, tøj, tech, byggeri</t>
  </si>
  <si>
    <t xml:space="preserve">Fødevarer, tekstil, tech, sundhed, energi
</t>
  </si>
  <si>
    <t xml:space="preserve">Gælder hvor der er en fordel ved at kommunikere om lav miljøpåvirkning, god etik, sikkerhed eller sundhed.	</t>
  </si>
  <si>
    <t xml:space="preserve">Gælder hvis forbrugerne forventer visse standarder – f.eks. økologi, sikkerhed, klima – som kan påvirke efterspørgslen.	</t>
  </si>
  <si>
    <t xml:space="preserve">Gælder f.eks. rådgivning, byggeri, sundhedsydelser eller forsikringer med stor betydning for slutbrugeren.	</t>
  </si>
  <si>
    <t xml:space="preserve">Gælder f.eks. fødevarer, medicin, kemikalier, teknisk udstyr eller digitale ydelser, hvor fejlbrug kan føre til skade.	</t>
  </si>
  <si>
    <t xml:space="preserve">Gælder særligt ved høj offentlig synlighed, følsomme produkter, eller produkter med sikkerheds- og sundhedsrisko.	</t>
  </si>
  <si>
    <t>Kan virksomheden opnå økonomiske fordele (f.eks. nye markedsandele eller højere loyalitet) ved at tilbyde produkter med dokumenterede ESG-fordele?</t>
  </si>
  <si>
    <t xml:space="preserve">Kan ændringer i forbrugerpræferencer, f.eks. øget efterspørgsel på bæredygtige eller sikre produkter, påvirke virksomhedens konkurrenceevne?	</t>
  </si>
  <si>
    <t xml:space="preserve">Er der slutbrugere, hvis helbred, økonomi eller rettigheder kan påvirkes negativt, hvis produktet eller ydelsen ikke fungerer som forventet?	</t>
  </si>
  <si>
    <t xml:space="preserve">Er virksomhedens slutbrugere afhængige af klare informationer, brugsanvisninger eller mærkning for at bruge produktet korrekt og sikkert?	</t>
  </si>
  <si>
    <t xml:space="preserve">Er virksomheden særlig eksponeret for offentlig kritik eller dårlig omtale, hvis dens produkter/ydelser har fejl, bivirkninger eller skader?	</t>
  </si>
  <si>
    <t xml:space="preserve">Virksomheden har leverandører, kunder, datterselskaber, produktionssteder eller samarbejdspartnere i udlandet.	</t>
  </si>
  <si>
    <t>Produktion, eksport/import, engros, konsulentydelser, teknologi</t>
  </si>
  <si>
    <t xml:space="preserve">Virksomheden opererer i en branche med høj regulering, fordi den påvirker menneskers sundhed, økonomi, sikkerhed eller privatliv.	</t>
  </si>
  <si>
    <t>Lægemidler, finans, våbenindustri, spil/lotteri, tech med brugerdata</t>
  </si>
  <si>
    <t xml:space="preserve">Virksomheden er afhængig af at få og opretholde tilladelser, certifikater eller licenser fra myndigheder for at kunne producere eller levere sine ydelser.	</t>
  </si>
  <si>
    <t>Byggeri, transport, energi, fødevareproduktion, medicinalindustri</t>
  </si>
  <si>
    <t xml:space="preserve">Virksomheden betaler kontingent eller deltager aktivt i netværk, der forsøger at påvirke politiske beslutninger.	</t>
  </si>
  <si>
    <t>Byggeri, energi, landbrug, industri, finans, it</t>
  </si>
  <si>
    <t xml:space="preserve">Virksomheden outsourcer opgaver, der har direkte betydning for overholdelse af regler og ansvarlig ledelse.	</t>
  </si>
  <si>
    <t xml:space="preserve">Finans, sundhed, HR-rådgivere, SaaS-virksomheder, juridiske konsulenter
</t>
  </si>
  <si>
    <t xml:space="preserve">Har virksomheden aktiviteter i eller samarbejder med virksomheder i andre lande?	</t>
  </si>
  <si>
    <t xml:space="preserve">Har virksomheden aktiviteter, der kræver myndighedsgodkendelser for at kunne drive forretning?	</t>
  </si>
  <si>
    <t xml:space="preserve">Bruger virksomheden eksterne leverandører til at håndtere compliance, juridiske forhold eller governance-relaterede processer (f.eks. hvidvaskkontrol, intern revision, persondata)?	</t>
  </si>
  <si>
    <t xml:space="preserve">Hvis lovgivning, støtteordninger eller licenser ændres, kan det påvirke virksomhedens omsætning eller muligheder for at operere.	</t>
  </si>
  <si>
    <t>Landbrug, transport, vedvarende energi, affaldshåndtering, medicinalindustri</t>
  </si>
  <si>
    <t xml:space="preserve">Opererer virksomheden i en branche, hvor der kræves særlig godkendelse for at håndtere personfølsomme oplysninger eller menneskers sikkerhed/økonomi (f.eks. medicin, finans, våben, spil, tech med persondata)?	</t>
  </si>
  <si>
    <t xml:space="preserve">Er virksomheden medlem af en brancheorganisation eller netværk, som offentligt har til formål at påvirke politiske beslutninger (f.eks. via høringssvar, møder eller kampagner)?	</t>
  </si>
  <si>
    <t xml:space="preserve">Er virksomhedens forretningsmodel afhængig af politisk fastsatte rammer, som f.eks. støtteordninger, regulering, kvoter eller offentlige tilladelser?	</t>
  </si>
  <si>
    <t xml:space="preserve">Kan virksomhedens relation til offentlige myndigheder påvirke hastigheden eller sandsynligheden for godkendelser (f.eks. byggetilladelser, miljøgodkendelser eller driftstilladelser)?	</t>
  </si>
  <si>
    <t>Kan negativ omtale om virksomhedens ledelse, etik eller adfærd føre til tab af kunder, investorer eller samarbejdspartnere?</t>
  </si>
  <si>
    <t xml:space="preserve">Er virksomhedens adgang til finansiering, investeringer eller store kunder afhængig af dokumenteret god ledelsespraksis (f.eks. ESG-rapporter, etikkoder, compliance-programmer)?	</t>
  </si>
  <si>
    <t xml:space="preserve">Kan manglende kontrol med governance-områder føre til økonomiske konsekvenser, som f.eks. bøder, forsinkelser, tab af kontrakter eller ekstra kontrol?	</t>
  </si>
  <si>
    <t xml:space="preserve">Virksomhedens kontakt med myndigheder kan føre til hurtigere eller mere smidig sagsbehandling – eller modsat, hvis relationen er dårlig.	</t>
  </si>
  <si>
    <t xml:space="preserve">Dårligt omdømme som følge af governance-problemer (f.eks. diskrimination, vildledning, skjult ejerskab) vil påvirke forretningen, især hvis man er synlig i markedet.	</t>
  </si>
  <si>
    <t xml:space="preserve">Banker, investorer eller B2B-kunder stiller krav om transparens i styring, og fravær af dette kan give afslag eller højere omkostninger.	</t>
  </si>
  <si>
    <t xml:space="preserve">Hvis virksomheden ikke styrer risici som korruption, hvidvask, datasikkerhed eller arbejdsret, kan det medføre direkte økonomiske tab – ikke kun bøder, men også mistede kontrakter eller udgifter til genopretning.	</t>
  </si>
  <si>
    <t>Byggeri, anlæg, fødevareproduktion, industri, spil, miljøservice</t>
  </si>
  <si>
    <t>Detail, fødevarer, tech, bank, rejsebranchen, bæredygtige brands</t>
  </si>
  <si>
    <t>Startups, vækstvirksomheder, eksportvirksomheder, leverandører til det offentlige</t>
  </si>
  <si>
    <t xml:space="preserve">Finans, tech, transport, sundhed, byggeri, logistik
</t>
  </si>
  <si>
    <t xml:space="preserve">Udleder virksomheden direkte drivhusgasser (CO₂e) i forbindelse med drift, transport eller energiforbrug?	</t>
  </si>
  <si>
    <t xml:space="preserve">Gælder hvis virksomheden fx bruger firmabiler, har produktionsudstyr, opvarmer lokaler med olie/gas, eller flyver på firmarejser. Kontorarbejde uden transport tæller ikke.	</t>
  </si>
  <si>
    <t>Transport, byggeri, produktion, landbrug, detail med transport</t>
  </si>
  <si>
    <t xml:space="preserve">Forårsager virksomhedens produkter, ydelser eller drift væsentlig indirekte CO₂e-udledning i værdikæden?	</t>
  </si>
  <si>
    <t xml:space="preserve">Gælder fx salg af fysiske varer, rådgivning om CO₂-intensive projekter, eller outsourcing af produktion. Kun meget simple servicefag (massør, frisør osv.) undgår dette.	</t>
  </si>
  <si>
    <t>Produktion, engros, rådgivning, detailhandel, byggeri</t>
  </si>
  <si>
    <t xml:space="preserve">Tilbyder virksomheden produkter eller ydelser, der kan hjælpe andre med at reducere deres klimaaftryk?	</t>
  </si>
  <si>
    <t xml:space="preserve">Gælder fx energirådgivning, klimateknologier, software til måling af emissioner eller klimavenlige produkter. Gælder også ansvar i værdikæden.	</t>
  </si>
  <si>
    <t>Cleantech, konsulenter, energi, grøn transport, IT-software</t>
  </si>
  <si>
    <t xml:space="preserve">Gælder fx stigende elpriser, forsikringer, transport, eller udgifter til klimatilpasning eller indkøb.	</t>
  </si>
  <si>
    <t>Alle brancher – men især energiintensive</t>
  </si>
  <si>
    <t xml:space="preserve">Kan klimarelateret regulering påvirke virksomhedens konkurrenceevne eller krav til produkter?	</t>
  </si>
  <si>
    <t xml:space="preserve">Gælder fx CO₂-afgifter, EU's taksonomi, energikrav til bygninger eller dokumentationskrav fra kunder.	</t>
  </si>
  <si>
    <t>Produktion, byggeri, transport, fødevarer, eksport</t>
  </si>
  <si>
    <t xml:space="preserve">Har virksomheden mulighed for at tjene penge på klimaforandringer (f.eks. via nye markeder, produkter eller ydelser)?	</t>
  </si>
  <si>
    <t xml:space="preserve">Gælder fx klimatilpasning, grønne produkter, investeringer i vedvarende energi, eller øget efterspørgsel på rådgivning eller data.	</t>
  </si>
  <si>
    <t xml:space="preserve">Energi, rådgivning, tech, byggeri, forsyning
</t>
  </si>
  <si>
    <t xml:space="preserve">Er virksomheden aktiv i en branche, der ifølge EU eller Klimarådet er blandt de mest CO₂e-intensive?	</t>
  </si>
  <si>
    <t xml:space="preserve">Gælder kun hvis virksomheden er i en af følgende brancher: energi, byggeri, cement, stål, landbrug, transport, minedrift, kemi, plastproduktion, tekstil eller shipping.	</t>
  </si>
  <si>
    <t xml:space="preserve">Energi, byggeri, cement, stål, landbrug, transport, minedrift, kemi, plastproduktion, tekstil, shipping (liste kan justeres efter national/EU-kilder).
</t>
  </si>
  <si>
    <t xml:space="preserve">Gælder kun hvis man har produktion, kontor eller nøgleleverandører i områder, som ifølge myndigheder (fx DMI eller EU) er klimarisikozoner.	</t>
  </si>
  <si>
    <t xml:space="preserve">Landbrug, byggeri, transport, produktion, fødevarer
</t>
  </si>
  <si>
    <t xml:space="preserve">Kan virksomheden miste eller vinde kunder, investorer eller markedsandele pga. krav om lavt klimaaftryk?	</t>
  </si>
  <si>
    <t xml:space="preserve">Gælder hvis virksomheden har kunder, partnere eller investorer, der stiller krav om dokumenteret CO₂-reduktion, klimamærkning eller ESG.	</t>
  </si>
  <si>
    <t xml:space="preserve">Rådgivning, mode, tech, byggeri, detail, transport, fødevarer
</t>
  </si>
  <si>
    <t xml:space="preserve">Gælder fx byggeri, skovrydning, anlægsarbejde, eller store parkeringspladser, som fjerner grønne arealer og påvirker kulstofbinding.	</t>
  </si>
  <si>
    <t xml:space="preserve">Byggeri, anlæg, landbrug, minedrift, logistikcentre
</t>
  </si>
  <si>
    <t xml:space="preserve">Har virksomheden indvoldveret i aktiviteter, der medfører ændringer i arealanvendelse med betydning for klimaet?	</t>
  </si>
  <si>
    <t xml:space="preserve">Kan klimaforandringer medføre betydningsfuldt højere omkostninger for virksomheden (f.eks. energi, forsikring, leverancer)?	</t>
  </si>
  <si>
    <t xml:space="preserve">Har virksomheden drift, hoved- leverandører eller kunder i geografiske områder med risiko for oversvømmelse, tørke eller storme?	</t>
  </si>
  <si>
    <t>Har virksomheden ansatte eller leverandører i brancher eller lande med kendt risiko for alvorlige brud på arbejdstagerrettigheder (f.eks. tvangsarbejde, børnearbejde)?</t>
  </si>
  <si>
    <t>Har virksomheden indflydelse på arbejdsforholdene hos centrale leverandører og underleverandører?</t>
  </si>
  <si>
    <t>Lav</t>
  </si>
  <si>
    <t>Moderat</t>
  </si>
  <si>
    <t xml:space="preserve">Høj </t>
  </si>
  <si>
    <t xml:space="preserve">Meget høj </t>
  </si>
  <si>
    <t>Middel</t>
  </si>
  <si>
    <t>Meget høj</t>
  </si>
  <si>
    <t>Høj</t>
  </si>
  <si>
    <t>Virksomhedsnavn</t>
  </si>
  <si>
    <t>Lokation</t>
  </si>
  <si>
    <t>Adresse</t>
  </si>
  <si>
    <t>Antal ansatte</t>
  </si>
  <si>
    <t>Årlig omsætning/noget andet</t>
  </si>
  <si>
    <t>Branchekode</t>
  </si>
  <si>
    <t>Titel på branchekode</t>
  </si>
  <si>
    <t>01.11.00</t>
  </si>
  <si>
    <t>Dyrkning af korn (undtagen ris), bælgfrugter og olieholdige frø</t>
  </si>
  <si>
    <t>Branchen omfatter dyrkning af alle former for korn (undtagen ris), herunder pseudo-korn (fx quinoa), bælgfrugter og olieholdige frø.</t>
  </si>
  <si>
    <t>01.12.00</t>
  </si>
  <si>
    <t>Dyrkning af ris</t>
  </si>
  <si>
    <t>Branchen omfatter dyrkning af ris.</t>
  </si>
  <si>
    <t>01.13.00</t>
  </si>
  <si>
    <t>Dyrkning af grøntsager og meloner, rødder og rodknolde</t>
  </si>
  <si>
    <t>Branchen omfatter dyrkning af grøntsager og meloner, rødder og rodknolde, fx agurker, tomater, kartofler, maniok og honningmeloner.</t>
  </si>
  <si>
    <t>Dyrkning af krydderiplanter og aromaplanter henvises til 01.28.00.</t>
  </si>
  <si>
    <t>01.14.00</t>
  </si>
  <si>
    <t>Dyrkning af sukkerrør</t>
  </si>
  <si>
    <t>Branchen omfatter dyrkning af sukkerrør.</t>
  </si>
  <si>
    <t>Dyrkning af sukkerroer henvises til 01.13.00.</t>
  </si>
  <si>
    <t>01.15.00</t>
  </si>
  <si>
    <t>Dyrkning af tobak</t>
  </si>
  <si>
    <t>Branchen omfatter dyrkning og den indledende forarbejdning af råtobak.</t>
  </si>
  <si>
    <t>01.16.00</t>
  </si>
  <si>
    <t>Dyrkning af tekstilplanter</t>
  </si>
  <si>
    <t>Branchen omfatter dyrkning af tekstilplanter, fx bomuld, jute, hør og hamp.</t>
  </si>
  <si>
    <t>01.19.00</t>
  </si>
  <si>
    <t>Dyrkning af andre etårige afgrøder</t>
  </si>
  <si>
    <t>Branchen omfatter dyrkning af etårige afgrøder, fx foderafgrøder, roefrø og frø fra foderplanter samt dyrkning og fremstilling af blomster, afskårne blomster, blomsterknopper og blomsterfrø.</t>
  </si>
  <si>
    <t>01.21.00</t>
  </si>
  <si>
    <t>Dyrkning af druer</t>
  </si>
  <si>
    <t>Branchen omfatter dyrkning af druer, fx druer til presning og spisning.</t>
  </si>
  <si>
    <t>Fremstilling af vin henvises til 11.02.00.</t>
  </si>
  <si>
    <t>01.22.00</t>
  </si>
  <si>
    <t>Dyrkning af tropiske og subtropiske frugter</t>
  </si>
  <si>
    <t>Branchen omfatter dyrkning af tropiske og subtropiske frugter, fx avocado, ananas, bananer, dadler, figner, mango og papaya.</t>
  </si>
  <si>
    <t>01.23.00</t>
  </si>
  <si>
    <t>Dyrkning af citrusfrugter</t>
  </si>
  <si>
    <t>Branchen omfatter dyrkning af citrusfrugter, fx grapefrugt, citron, lime og appelsiner.</t>
  </si>
  <si>
    <t>01.24.00</t>
  </si>
  <si>
    <t>Dyrkning af kernefrugter og stenfrugter</t>
  </si>
  <si>
    <t>Branchen omfatter dyrkning af frugter med sten eller kerner som fx æbler, pærer, kvæder, abrikoser, kirsebær, ferskner, blommer og slåen.</t>
  </si>
  <si>
    <t>01.25.00</t>
  </si>
  <si>
    <t>Dyrkning af andre træfrugter, bær og nødder</t>
  </si>
  <si>
    <t>Branchen omfatter dyrkning af andre træfrugter, bær og nødder, fx blåbær, ribs, solbær, stikkelsbær, hindbær, jordbær og kiwifrugter.</t>
  </si>
  <si>
    <t>Branchen omfatter også dyrkning af frugtfrø samt dyrkning af spiselige nødder, bortset fra kokosnødder, som henvises til 01.26.00.</t>
  </si>
  <si>
    <t>01.26.00</t>
  </si>
  <si>
    <t>Dyrkning af olieholdige frugter</t>
  </si>
  <si>
    <t>Branchen omfatter dyrkning af olieholdige frugter, fx kokosnødder, oliven og olieplanter.</t>
  </si>
  <si>
    <t>Dyrkning af sojabønner, jordnødder og andre olieholdige frø henvises til 01.11.00.</t>
  </si>
  <si>
    <t>01.27.00</t>
  </si>
  <si>
    <t>Dyrkning af planter til fremstilling af drikkevarer</t>
  </si>
  <si>
    <t>Branchen omfatter dyrkning af planter til fremstilling af drikkevarer, fx kaffe og te.</t>
  </si>
  <si>
    <t>01.28.00</t>
  </si>
  <si>
    <t>Dyrkning af krydderiplanter, aromaplanter og lægeplanter</t>
  </si>
  <si>
    <t>Branchen omfatter dyrkning af krydderiplanter, aromaplanter og lægeplanter som fx peber, chilipeber, muskatnødder, anis, kartemomme, kanel, ingefær, vanilje og humle.</t>
  </si>
  <si>
    <t>01.29.00</t>
  </si>
  <si>
    <t>Dyrkning af andre flerårige afgrøder</t>
  </si>
  <si>
    <t>Branchen omfatter dyrkning af andre flerårige afgrøder, fx juletræer, træer til udvinding af træsaft og plantemateriale til brug for fletning. Branchen omfatter også dyrkning af gummitræer til udvinding af latex.</t>
  </si>
  <si>
    <t>01.30.00</t>
  </si>
  <si>
    <t>Planteformering</t>
  </si>
  <si>
    <t>Branchen omfatter fremstilling af stiklinger, rodskud, sideskud og kimplanter til direkte planteformering eller med henblik på podning til eventuel udplantning.</t>
  </si>
  <si>
    <t>01.41.00</t>
  </si>
  <si>
    <t>Avl af malkekvæg</t>
  </si>
  <si>
    <t>Branchen omfatter opdræt og avl af malkekvæg, fx produktion af råmælk fra køer eller bøfler og produktion af tyresæd af mælkeracer.</t>
  </si>
  <si>
    <t>Forarbejdning af mælk henvises til 10.51.00.</t>
  </si>
  <si>
    <t>01.42.00</t>
  </si>
  <si>
    <t>Avl af andet kvæg og bøfler</t>
  </si>
  <si>
    <t>Branchen omfatter opdræt og avl af andet kvæg og bøfler til kødproduktion samt produktion af tyresæd.</t>
  </si>
  <si>
    <t>01.43.00</t>
  </si>
  <si>
    <t>Avl af heste og dyr af hestefamilien</t>
  </si>
  <si>
    <t>Branchen omfatter opdræt og avl af heste og dyr af hestefamilien, fx æsler, muldyr og mulæsler.</t>
  </si>
  <si>
    <t>Drift af stalde for væddeløbsheste og rideskoler henvises til 93.19.00.</t>
  </si>
  <si>
    <t>01.44.00</t>
  </si>
  <si>
    <t>Avl af kameler og dyr af kamelfamilien</t>
  </si>
  <si>
    <t>Branchen omfatter opdræt og avl af kameler og dyr af kamelfamilien, fx dromedarer.</t>
  </si>
  <si>
    <t>01.45.00</t>
  </si>
  <si>
    <t>Avl af får og geder</t>
  </si>
  <si>
    <t>Branchen omfatter opdræt og avl af får og geder samt produktion af rå fåremælk og gedemælk samt råuld.</t>
  </si>
  <si>
    <t>01.46.10</t>
  </si>
  <si>
    <t>Avl af smågrise</t>
  </si>
  <si>
    <t>Branchen omfatter avl af smågrise.</t>
  </si>
  <si>
    <t>01.46.20</t>
  </si>
  <si>
    <t>Produktion af slagtesvin</t>
  </si>
  <si>
    <t>Branchen omfatter opdræt og avl af slagtesvin.</t>
  </si>
  <si>
    <t>01.47.00</t>
  </si>
  <si>
    <t>Fjerkræavl</t>
  </si>
  <si>
    <t>Branchen omfatter opdræt og avl af fjerkræ, fx høns, kalkuner, ænder, gæs og perlehøns. Branchen omfatter også ægproduktion og drift af fjerkrærugerier.</t>
  </si>
  <si>
    <t>Produktion af fjer og dun henvises til 10.12.00.</t>
  </si>
  <si>
    <t>01.48.00</t>
  </si>
  <si>
    <t>Avl af andre dyr</t>
  </si>
  <si>
    <t>Branchen omfatter opdræt og avl af kæledyr, krybdyr, orme og biavl, bortset fra fisk. Branchen omfatter også produktion af skind fra opdrættede krybdyr eller fugle.</t>
  </si>
  <si>
    <t>01.50.00</t>
  </si>
  <si>
    <t>Blandet landbrugsdrift</t>
  </si>
  <si>
    <t>Branchen omfatter kombineret produktion af afgrøder og dyr, hvor hverken produktion af afgrøder eller opdræt og avl af dyr er klart dominerende i indtjeningen.</t>
  </si>
  <si>
    <t>01.61.00</t>
  </si>
  <si>
    <t>Støtteaktiviteter i forbindelse med planteavl</t>
  </si>
  <si>
    <t>Branchen omfatter tjenesteydelser på honorar- eller kontraktbasis i forbindelse med planteavl, fx sprøjtning af afgrøder, beskæring af frugttræer, høst, skadedyrsbekæmpelse (herunder kaniner) inden for landbrug, markvandingsudstyr, udlejning af landbrugsmaskiner med betjeningspersonale og mandskab.</t>
  </si>
  <si>
    <t>Forarbejdning af afgrøder efter høst henvises til 01.63.00.</t>
  </si>
  <si>
    <t>01.62.00</t>
  </si>
  <si>
    <t>Støtteaktiviteter i forbindelse med husdyravl</t>
  </si>
  <si>
    <t>Branchen omfatter tjenesteydelser på honoar - eller kontraktbasis i forbindelse med husdyravl, fx beslagsmedes aktiviteter, fåreklipning, opstaldning og pasning af husdyr samt aktiviteter i forbindelse med kunstig inseminering.</t>
  </si>
  <si>
    <t>01.63.00</t>
  </si>
  <si>
    <t>Forarbejdning af afgrøder efter høst af frø/sædekorn til udsæd</t>
  </si>
  <si>
    <t>Branchen omfatter aktiviteter på honorar- eller kontraktbasis i forbindelse med forarbejdning af afgrøder, fx rensning, kunstig modning af frugt som serviceydelse, tørring og voksning af frugt mv.</t>
  </si>
  <si>
    <t>01.70.00</t>
  </si>
  <si>
    <t>Jagt, fældefangst og serviceydelser i forbindelse hermed</t>
  </si>
  <si>
    <t>Branchen omfatter jagt og fældefangst på kommerciel basis samt fangst af dyr med henblik på produktion af fødevarer og pelsværk eller til anvendelse inden for forskning, i zoologiske haver eller som kæledyr.</t>
  </si>
  <si>
    <t>Branchen omfatter også landbaseret fangst af havpattedyr som fx hvalrosser og sæler.</t>
  </si>
  <si>
    <t>02.10.00</t>
  </si>
  <si>
    <t>Dyrkning af træer og andre skovbrugsaktiviteter</t>
  </si>
  <si>
    <t>Branchen omfatter dyrkning af træer og andre skovbrugsaktiviteter, fx dyrkning af skovtræer, lavskov og drift af skovplanteskoler.</t>
  </si>
  <si>
    <t>Dyrkning af juletræer henvises til 01.29.00 og drift af træplanteskoler, undtagen skovtræer, henvises til 01.30.00.</t>
  </si>
  <si>
    <t>02.20.00</t>
  </si>
  <si>
    <t>Skovning</t>
  </si>
  <si>
    <t>Branchen omfatter produktion af rundtømmer, indsamling og produktion af træ og træhugningsaffald til energi samt fremstilling af trækul i skoven.</t>
  </si>
  <si>
    <t>02.30.00</t>
  </si>
  <si>
    <t>Indsamling af vildtvoksende forstmateriale, undtagen træer</t>
  </si>
  <si>
    <t>Branchen omfatter indsamling af vildtvoksende forstmateriale, fx bær, svampe, nødder, mos og ålegræs.</t>
  </si>
  <si>
    <t>02.40.00</t>
  </si>
  <si>
    <t>Støtteaktiviteter i forbindelse med skovbrug</t>
  </si>
  <si>
    <t>Branchen omfatter serviceydelser til skovbrug, såsom konsulentbistand, skadedyrsbekæmpelse samt transport af træstammer i skoven og udlejning af skovbrugsmaskiner.</t>
  </si>
  <si>
    <t>03.11.00</t>
  </si>
  <si>
    <t>Havfiskeri</t>
  </si>
  <si>
    <t>Branchen omfatter havfiskeri på kommerciel basis, fx fangst og indsamling af vildtlevende fisk, krebs, hvaler, skildpadder, søpindsvin mv. i hav og kystfarvande.</t>
  </si>
  <si>
    <t>03.12.00</t>
  </si>
  <si>
    <t>Ferskvandsfiskeri</t>
  </si>
  <si>
    <t>Branchen omfatter ferskvandsfiskeri på kommerciel basis samt fangst og indsamling af fisk, krebs- og bløddyr samt andre ferskvandslevende organismer i ferskvand.</t>
  </si>
  <si>
    <t>03.21.00</t>
  </si>
  <si>
    <t>Havbrug</t>
  </si>
  <si>
    <t>Branchen omfatter opdræt i saltvand, fx af fisk, skaldyr og bløddyr samt opdræt af yngel og dyrkning af tang. Akvakulturaktiviteter i brakvand er også omfattet.</t>
  </si>
  <si>
    <t>03.22.00</t>
  </si>
  <si>
    <t>Ferskvandsbrug</t>
  </si>
  <si>
    <t>Branchen omfatter opdræt i ferskvand, fx af fisk, krebs og bløddyr samt fiskeklækkerier og frøopdræt. Dyrkning af tang og alger er også omfattet.</t>
  </si>
  <si>
    <t>03.30.00</t>
  </si>
  <si>
    <t>Støtteaktiviteter i forbindelse med fiskeri og akvakultur</t>
  </si>
  <si>
    <t>Branchen omfatter serviceydelser til fiskeri eller akvakultur, fx fiskerikontrol og dykkerydelser til akvakultur.</t>
  </si>
  <si>
    <t>Forarbejdning af fisk og andre akvakulturprodukter på fabriksskibe eller på fabrikker på land henvises til 10.20.20.</t>
  </si>
  <si>
    <t>05.10.00</t>
  </si>
  <si>
    <t>Indvinding af stenkul</t>
  </si>
  <si>
    <t>Branchen omfatter under- eller overjordisk indvinding af stenkul.</t>
  </si>
  <si>
    <t>05.20.00</t>
  </si>
  <si>
    <t>Indvinding af brunkul</t>
  </si>
  <si>
    <t>Branchen omfatter indvinding af fast mineralsk brændstof som fx brunkul, herunder også vask, tørring, pulverisering mv. af brunkul med henblik på kvalitetsforbedring, transport eller opbevaring.</t>
  </si>
  <si>
    <t>06.10.00</t>
  </si>
  <si>
    <t>Indvinding af råolie</t>
  </si>
  <si>
    <t>Branchen omfatter indvinding af råolie og produktion af råolie fra asfaltskifer og olieholdigt sand.</t>
  </si>
  <si>
    <t>Genvinding af flydende gas i forbindelse med raffinering af råolie henvises til 19.20.00.</t>
  </si>
  <si>
    <t>06.20.00</t>
  </si>
  <si>
    <t>Indvinding af naturgas</t>
  </si>
  <si>
    <t>Branchen omfatter produktion af naturgas og afsvovling af gas.</t>
  </si>
  <si>
    <t>07.10.00</t>
  </si>
  <si>
    <t>Brydning af jernmalm</t>
  </si>
  <si>
    <t>Branchen omfatter brydning af malm, oparbejdning og agglomerering af jernmalm.</t>
  </si>
  <si>
    <t>Brydning og forarbejdning af svovlkis og pyrrhotit henvises til 08.91.00.</t>
  </si>
  <si>
    <t>07.21.00</t>
  </si>
  <si>
    <t>Brydning af uran- og thoriummalme</t>
  </si>
  <si>
    <t>Branchen omfatter brydning af malme, som hovedsageligt indvindes pga. indholdet af uran og thorium. Branchen omfatter også koncentrering af disse malme samt fremstilling af yellow cake.</t>
  </si>
  <si>
    <t>Berigelse af uran og thoriummalme henvises til 20.13.00.</t>
  </si>
  <si>
    <t>07.29.00</t>
  </si>
  <si>
    <t>Brydning af andre ikke-jernholdige metalmalme</t>
  </si>
  <si>
    <t>Branchen omfatter brydning af andre ikke-jernholdige malme som fx kobber, bly, zink, tin, mangan, krom, nikkel mv., samt ædelmetallerne guld, sølv og platin.</t>
  </si>
  <si>
    <t>Produktion af kobbersten henvises til 24.44.00 og produktion af nikkelsten henvises til 24.45.00.</t>
  </si>
  <si>
    <t>08.11.00</t>
  </si>
  <si>
    <t>Brydning af pyntesten, kalksten, gips, skifer mv.</t>
  </si>
  <si>
    <t>Branchen omfatter brydning, hugning, knusning og grov tildannelse af monument- og byggesten (granit, sandsten og marmor), kalksten, gips, anhydrit, kridt og ukalcineret dolomit. Branchen omfatter endvidere produktion af granulat, flis og pulver af indvundet sten.</t>
  </si>
  <si>
    <t>08.12.00</t>
  </si>
  <si>
    <t>Grus- og sandgravning og indvinding af ler og kaolin</t>
  </si>
  <si>
    <t>Branchen omfatter indvinding og pumpning af industrisand, sand til byggerier og grus samt brydning og knusning af grus. Branchen omfatter også indvinding af ler, sand og kaolin.</t>
  </si>
  <si>
    <t>Indvinding af olieholdigt sand henvises til 06.10.00</t>
  </si>
  <si>
    <t>.</t>
  </si>
  <si>
    <t>08.91.00</t>
  </si>
  <si>
    <t>Indvinding af mineraler til fremstilling af kemiske produkter og gødningsstoffer</t>
  </si>
  <si>
    <t>Branchen omfatter indvinding af naturlige fosfater, kaliumsalte, frit svovl, naturlige magnesiumsulfater, jordpigmenter mv., som hovedsaglig udnyttes som kilde til kemiske stoffer.</t>
  </si>
  <si>
    <t>08.92.00</t>
  </si>
  <si>
    <t>Indvinding af tørv</t>
  </si>
  <si>
    <t>Branchen omfatter tørvegravning og forarbejdning for at forbedre kvaliteten, lette transporten eller opbevaringen af tørv.</t>
  </si>
  <si>
    <t>Fremstilling af tørveprodukter eller tørvebriketter henvises til hhv. 23.99.90 og 19.20.00.</t>
  </si>
  <si>
    <t>08.93.00</t>
  </si>
  <si>
    <t>Saltindvinding</t>
  </si>
  <si>
    <t>Branchen omfatter indvinding af salt fra undergrunden ved opløsning og pumpning. Branchen omfatter også knusning, oprensning og raffinering af salt udført af producenten.</t>
  </si>
  <si>
    <t>Fremstilling af bordsalt henvises til 10.84.00.</t>
  </si>
  <si>
    <t>08.99.00</t>
  </si>
  <si>
    <t>Anden råstofindvinding i.a.n.</t>
  </si>
  <si>
    <t>Branchen omfatter indvinding og brydning af forskellige mineraler og materialer, fx slibematerialer, asbest, fossilt kiselmel, naturligt grafit, fedtsten, ædelsten mv.</t>
  </si>
  <si>
    <t>09.10.00</t>
  </si>
  <si>
    <t>Støtteaktiviteter i forbindelse med indvinding af råolie og naturgas</t>
  </si>
  <si>
    <t>Branchen omfatter serviceydelser (på honorar- eller kontraktbasis) i forbindelse med indvinding af råolie og naturgas, som fx opførelse, reparation eller demontering af boretårne samt prøveboringer eller brandslukning i forbindelse med olie- eller gasindvinding.</t>
  </si>
  <si>
    <t>Geologiske undersøgelser henvises til 71.12.40.</t>
  </si>
  <si>
    <t>09.90.00</t>
  </si>
  <si>
    <t>Støtteaktiviteter i forbindelse med anden råstofindvinding</t>
  </si>
  <si>
    <t>Branchen omfatter støtteaktiviteter (på honorar- eller kontraktbasis) i forbindelse med råstofindvinding, fx efterforskning ved at udtage boreprøver og lave geologiske observationer. Branchen omfatter også serviceydelser i forbindelse med dræning og pumpning.</t>
  </si>
  <si>
    <t>Geofysiske undersøgelser på honorar- eller kontraktbasis henvises til 71.12.40.</t>
  </si>
  <si>
    <t>10.11.10</t>
  </si>
  <si>
    <t>Forarbejdning af svinekød</t>
  </si>
  <si>
    <t>Branchen omfatter drift af svineslagterier, aflivning, forarbejdning eller emballering, herunder fremstilling af fersk, kølet eller frossent svinekød i hele kroppe eller udskæringer. Branchen omfatter også forarbejdning af svinefedt og slagteaffald.</t>
  </si>
  <si>
    <t>10.11.90</t>
  </si>
  <si>
    <t>Forarbejdning af andet kød</t>
  </si>
  <si>
    <t>Branchen omfatter slagtning af andre dyr end svin og fjerkræ, aflivning, forarbejdning eller emballering herunder fremstilling af fersk, kølet eller frossent kød i hele kroppe eller udskæringer. Fremstilling af kradsuld er også omfattet.</t>
  </si>
  <si>
    <t>Fremstilling af tørret, saltet eller røget kød og kødprodukter henvises til 10.13.00.</t>
  </si>
  <si>
    <t>10.12.00</t>
  </si>
  <si>
    <t>Forarbejdning og konservering af fjerkrækød</t>
  </si>
  <si>
    <t>Branchen omfatter slagtning, forarbejdning og emballering af fjerkræ samt fremstilling af fersk, kølet eller frosset kød samt udsmeltning af spiseligt fedt fra fjerkræ og behandling af fjer og dun.</t>
  </si>
  <si>
    <t>10.13.00</t>
  </si>
  <si>
    <t>Fremstilling af kød- og fjerkrækødprodukter</t>
  </si>
  <si>
    <t>Branchen omfatter fremstilling af tørret, saltet eller røget kød samt pølser, patéer, postejer, kogt skinke mv.</t>
  </si>
  <si>
    <t>10.20.10</t>
  </si>
  <si>
    <t>Fremstilling af fiskemel</t>
  </si>
  <si>
    <t>Branchen omfatter fremstilling af fiskemel til konsum eller dyrefoder samt mel, der ikke er egnet til konsum.</t>
  </si>
  <si>
    <t>10.20.20</t>
  </si>
  <si>
    <t>Forarbejdning og konservering af fisk, krebsdyr og bløddyr, undtagen fiskemel</t>
  </si>
  <si>
    <t>Branchen omfatter forarbejdning og konservering af fisk, krebsdyr og bløddyr, herunder dybfrysning, tørring og andre forarbejdningsformer, fx konservering. Branchen omfatter også fremstilling af produkter fra fisk, krebsdyr og bløddyr fra salt- og ferskvand, fx fileter eller rogn.</t>
  </si>
  <si>
    <t>10.31.00</t>
  </si>
  <si>
    <t>Forarbejdning og konservering af kartofler</t>
  </si>
  <si>
    <t>Branchen omfatter forarbejdning og konservering af kartofler, fx fremstilling af frosne kartofler, kartoffelsnacks og kartoffelmel samt skrælning og skæring af kartofler.</t>
  </si>
  <si>
    <t>10.32.00</t>
  </si>
  <si>
    <t>Fremstilling af frugt- og grøntsagssaft</t>
  </si>
  <si>
    <t>Branchen omfatter fremstilling af frugt- eller grøntsagssaft samt koncentrater.</t>
  </si>
  <si>
    <t>10.39.00</t>
  </si>
  <si>
    <t>Anden forarbejdning og konservering af frugt og grøntsager</t>
  </si>
  <si>
    <t>Branchen omfatter fremstilling af produkter fra frugt og grøntsager samt konservering af frugt, grøntsager og nødder, fx syltetøj, marmelade, nøddepasta mv. Branchen omfatter også fremstilling af emballerede salater og tofu.</t>
  </si>
  <si>
    <t>Fremstilling af færdiglavede grøntssagsretter henvises til 10.85.00.</t>
  </si>
  <si>
    <t>10.41.00</t>
  </si>
  <si>
    <t>Fremstilling af olier og fedtstoffer</t>
  </si>
  <si>
    <t>Branchen omfatter fremstilling af rå og raffinerede vegetabilske olier, fx oliven-, soja-, raps- og solsikkeolie. Fremstilling af ikke-spiselige animalske olier og fedtstoffer er også omfattet, inklusive olier fra fisk og havpattedyr.</t>
  </si>
  <si>
    <t>Fremstilling af majsolie henvises til 10.62.00.</t>
  </si>
  <si>
    <t>10.42.00</t>
  </si>
  <si>
    <t>Fremstilling af margarine o.lign. spiselige fedtstoffer</t>
  </si>
  <si>
    <t>Branchen omfatter fremstilling af margarine og lignende spiselige fedtstoffer, fx smørbare blandingsprodukter.</t>
  </si>
  <si>
    <t>10.51.00</t>
  </si>
  <si>
    <t>Fremstilling af mejeriprodukter</t>
  </si>
  <si>
    <t>Branchen omfatter fremstilling af mælk, smør, ost og andre mejeriprodukter.</t>
  </si>
  <si>
    <t>Fremstilling af mejeribaseret modermælkserstatning henvises til 10.86.00 og fremstilling af plantebaserede mælkeerstatninger (fx kokos-, ris-, mandel-, havre- eller sojabaserede drikke) henvises til 11.07.00.</t>
  </si>
  <si>
    <t>10.52.00</t>
  </si>
  <si>
    <t>Fremstilling af konsumis</t>
  </si>
  <si>
    <t>Branchen omfatter fremstilling af is og sorbet (til konsum).</t>
  </si>
  <si>
    <t>10.61.00</t>
  </si>
  <si>
    <t>Fremstilling af mølleriprodukter</t>
  </si>
  <si>
    <t>Branchen omfatter fremstilling af mølleriprodukter, fx mel, melblandinger, gryn, morgenmadsprodukter samt formaling af ris, nødder og grøntsager.</t>
  </si>
  <si>
    <t>Fremstilling af kartoffelmel henvises til 10.31.00.</t>
  </si>
  <si>
    <t>10.62.00</t>
  </si>
  <si>
    <t>Fremstilling af stivelse og stivelsesprodukter</t>
  </si>
  <si>
    <t>Branchen omfatter fremstilling af stivelse (af ris, kartofler, majs mv.) og stivelsesprodukter (fx glukose, maltose, tapioka og gluten).</t>
  </si>
  <si>
    <t>10.71.10</t>
  </si>
  <si>
    <t>Industriel fremstilling af brød og kager mv.</t>
  </si>
  <si>
    <t>Branchen omfatter industriel fremstilling af bagværk, fx brød, wienerbrød, kager mv., samt frossent bagværk.</t>
  </si>
  <si>
    <t>10.71.20</t>
  </si>
  <si>
    <t>Fremstilling af friske bageriprodukter</t>
  </si>
  <si>
    <t>Branchen omfatter fremstilling af friskt bagværk fx, brød, wienerbrød, kager, vafler mv.</t>
  </si>
  <si>
    <t>Fremstilling af tørt bagværk henvises til 10.72.00.</t>
  </si>
  <si>
    <t>10.72.00</t>
  </si>
  <si>
    <t>Fremstilling af tvebakker, kiks, konserverede kager, tærter mv.</t>
  </si>
  <si>
    <t>Branchen omfatter fremstilling af tvebakker, kiks og andet tørt bagværk samt konserverede kager uanset om de er søde eller salte.</t>
  </si>
  <si>
    <t>10.73.00</t>
  </si>
  <si>
    <t>Fremstilling af dejprodukter</t>
  </si>
  <si>
    <t>Branchen omfatter fremstilling af pasta og couscous.</t>
  </si>
  <si>
    <t>10.81.00</t>
  </si>
  <si>
    <t>Fremstilling af sukker</t>
  </si>
  <si>
    <t>Branchen omfatter fremstilling og raffinering af sukker og sukkererstatninger af saft fra sukkerrør, sukkerroer, ahorn og palme samt fremstilling af melasse og sirup.</t>
  </si>
  <si>
    <t>10.82.00</t>
  </si>
  <si>
    <t>Fremstilling af kakao, chokolade og sukkervarer</t>
  </si>
  <si>
    <t>Branchen omfatter fremstilling af kakao, kakaosmør og chokoladevarer samt slik, fx karameller, pastiller, nougat, tyggegummi, herunder også sukkerkonservering af frugt, nødder mv.</t>
  </si>
  <si>
    <t>10.83.00</t>
  </si>
  <si>
    <t>Forarbejdning af te og kaffe</t>
  </si>
  <si>
    <t>Branchen omfatter ristning af kaffe og fremstilling af kaffeprodukter, fx pulverkaffe, kaffeekstrakter og kaffeerstatninger, samt fremstilling af teblandinger, ekstrakter og produkter baseret på te.</t>
  </si>
  <si>
    <t>10.84.00</t>
  </si>
  <si>
    <t>Fremstilling af smagspræparater og krydderier</t>
  </si>
  <si>
    <t>Branchen omfatter fremstilling af krydderier, saucer og tilbehør, fx sennep, mayonnaise og eddike.</t>
  </si>
  <si>
    <t>10.85.00</t>
  </si>
  <si>
    <t>Fremstilling af færdigretter</t>
  </si>
  <si>
    <t>Branchen omfatter fremstilling af færdigretter, fx af kød, fisk, fjerkræ, pasta og grøntsager.</t>
  </si>
  <si>
    <t>10.86.00</t>
  </si>
  <si>
    <t>Fremstilling af homogeniserede produkter og diætmad</t>
  </si>
  <si>
    <t>Branchen omfatter fremstilling af fødevarer til særlig ernæring, fx modermælkserstatning, babymad og fødevarer til medicinske formål. Fremstilling af fødevarer med lavt energiindhold til fx vægtkontrol er også omfattet.</t>
  </si>
  <si>
    <t>10.89.00</t>
  </si>
  <si>
    <t>Fremstilling af andre fødevarer i.a.n.</t>
  </si>
  <si>
    <t>Branchen omfatter fremstilling af andre fødevarer, fx friske pizzaer, sandwiches mv. Branchen omfatter også fremstilling af supper, bouillon, gær, kunsthonning mv.</t>
  </si>
  <si>
    <t>Fremstilling af plantebaserede mælkeerstatninger (fx kokos-, ris-, mandel-, havre- eller sojabaserede drikke) henvises til 11.07.00 og fremstilling af smørrebrød til umiddelbar fortæring henvises til 56.11.90.</t>
  </si>
  <si>
    <t>10.91.00</t>
  </si>
  <si>
    <t>Fremstilling af færdige foderblandinger til landbrugsdyr</t>
  </si>
  <si>
    <t>Branchen omfatter fremstilling af foder til landbrugsdyr og hav- og dambrug, herunder også foder fra slagteaffald.</t>
  </si>
  <si>
    <t>Fremstilling af foder til kæledyr henvises til 10.92.00.</t>
  </si>
  <si>
    <t>10.92.00</t>
  </si>
  <si>
    <t>Fremstilling af færdige foderblandinger til kæledyr</t>
  </si>
  <si>
    <t>Branchen omfatter fremstilling af foderblandinger til kæledyr, fx hunde, katte, fugle, fisk mv.</t>
  </si>
  <si>
    <t>11.01.00</t>
  </si>
  <si>
    <t>Destillation, rektifikation og blanding af alkohol</t>
  </si>
  <si>
    <t>Branchen omfatter fremstilling af destillerede alkoholiske drikkevarer (fx whisky, brandy, gin, likører mv.) og neutral spiritus.</t>
  </si>
  <si>
    <t>11.02.00</t>
  </si>
  <si>
    <t>Fremstilling af vin af druer</t>
  </si>
  <si>
    <t>Branchen omfatter fremstilling af vin fra druer, fx mousserende vin og vin fra mostkoncentrat, herunder eventuel blanding, rensning og tapning af vin på flasker. Branchen omfatter også alkoholfri vin.</t>
  </si>
  <si>
    <t>Branchen omfatter ikke tapning ved engroshandel eller på kontraktbasis.</t>
  </si>
  <si>
    <t>11.03.00</t>
  </si>
  <si>
    <t>Fremstilling af cider og andre gærede drikkevarer af frugt</t>
  </si>
  <si>
    <t>Branchen omfatter fremstilling af gærede, ikke-destillerede alkoholiske drikkevarer, fx cider og andre frugtvine, samt fremstilling af miksturer til hhv. gærede og alkoholfrie drikkevarer.</t>
  </si>
  <si>
    <t>11.04.00</t>
  </si>
  <si>
    <t>Fremstilling af andre ikke-destillerede gærede drikkevarer</t>
  </si>
  <si>
    <t>Branchen omfatter fremstilling af aromatiseret vin fra friske druer krydret med aromatiske stoffer.</t>
  </si>
  <si>
    <t>11.05.00</t>
  </si>
  <si>
    <t>Fremstilling af øl</t>
  </si>
  <si>
    <t>Branchen omfatter fremstilling af drikkevarer baseret på malt, fx øl eller porter. Branchen omfatter også alkoholfrie øl.</t>
  </si>
  <si>
    <t>11.06.00</t>
  </si>
  <si>
    <t>Fremstilling af malt</t>
  </si>
  <si>
    <t>Branchen omfatter fremstilling af malt fra byg, hvede eller andre kornsorter.</t>
  </si>
  <si>
    <t>11.07.00</t>
  </si>
  <si>
    <t>Fremstilling af læskedrikke og vand på flaske</t>
  </si>
  <si>
    <t>Branchen omfatter fremstilling af sodavand og andre læskedrikke (uden alkohol), mineralvand og andet vand på flaske med eller uden tilsat smag og sødestof. Branchen omfatter også fremstilling af plantebaserede mælkeerstatninger (fx kokos-, ris-, mandel-, havre- eller sojabaserede drikke).</t>
  </si>
  <si>
    <t>Branchen omfatter ikke frugt- og grøntsagssaft eller -juice, som henvises til 10.32.00.</t>
  </si>
  <si>
    <t>12.00.00</t>
  </si>
  <si>
    <t>Fremstilling af tobaksvarer</t>
  </si>
  <si>
    <t>Branchen omfatter fremstilling af tobaksvarer og produkter af tobakserstatninger. Branchen omfatter også homogeniseret eller rekonsitueret tobak.</t>
  </si>
  <si>
    <t>Dyrkning og indledende forarbejdning af tobak henvises til 01.63.00 og dampvæsker til e-cigaretter til 20.59.00.</t>
  </si>
  <si>
    <t>13.10.00</t>
  </si>
  <si>
    <t>Forbehandling og spinding af tekstilfibre</t>
  </si>
  <si>
    <t>Branchen omfatter oprulning og vask af silke og uld, affedtning, karbonisering og farvning af ny uld, samt kartning, kæmning, spinding og fremstilling af garn eller tråd til vævning.</t>
  </si>
  <si>
    <t>Forarbejdning af tekstilaffald til sekundære råmaterialer henvises til 38.21.00.</t>
  </si>
  <si>
    <t>13.20.00</t>
  </si>
  <si>
    <t>Vævning af tekstiler</t>
  </si>
  <si>
    <t>Branchen omfatter vævning af tekstiler af forskellige råmaterialer uanset om det er nye fibre eller genanvendte tekstiler, fx bomuld, uld, silke, hør og kinagræs og hamp samt imiteret pels fra vævning.</t>
  </si>
  <si>
    <t>13.30.00</t>
  </si>
  <si>
    <t>Efterbehandling af tekstiler</t>
  </si>
  <si>
    <t>Branchen omfatter efterbehandling af tekstiler og beklædningsartikler, fx blegning og farvning, samt forarbejdning af disse. Branchen omfatter også printning og overfaldebehandling af beklædningsgenstande.</t>
  </si>
  <si>
    <t>Printning, herunder silketryk, på tekstiler og beklædningsartikler, som ikke er del af fremstillingen af tekstiler, henvises til 18.12.00.</t>
  </si>
  <si>
    <t>13.91.00</t>
  </si>
  <si>
    <t>Fremstilling af trikotagestoffer</t>
  </si>
  <si>
    <t>Branchen omfatter fremstilling af strikkede eller hæklede stoffer, stoffer med luv og frotté samt fremstilling af imiteret pels ved strikning.</t>
  </si>
  <si>
    <t>13.92.00</t>
  </si>
  <si>
    <t>Fremstilling af tekstiler til husholdningsbrug og færdige boligtekstiler</t>
  </si>
  <si>
    <t>Branchen omfatter fremstilling af færdige tekstiler af ethvert tekstilmateriale til husholdningsbrug, fx tæpper, linned til senge, borde og køkken, puder, dyner, flag og klude. Branchen omfatter også fremstilling af tekstildelen til varmetæpper og håndvævede gobeliner.</t>
  </si>
  <si>
    <t>Fremstilling af tekstiler til teknisk brug henvises til 13.96.00.</t>
  </si>
  <si>
    <t>13.93.00</t>
  </si>
  <si>
    <t>Fremstilling af gulvtæpper og -måtter</t>
  </si>
  <si>
    <t>Branchen omfatter fremstilling af gulvtæpper, måtter og anden gulvbelægning af tekstil, nålefilt eller kunstgræs.</t>
  </si>
  <si>
    <t>13.94.00</t>
  </si>
  <si>
    <t>Fremstilling af reb, tovværk, sejlgarn og netstoffer</t>
  </si>
  <si>
    <t>Branchen omfatter fremstilling af sejlgarn, reb, tovværk af tekstilfibre mv., fx fiskenet.</t>
  </si>
  <si>
    <t>Fremstilling af fangstnet til sportsfiskeri henvises til 32.30.00.</t>
  </si>
  <si>
    <t>13.95.00</t>
  </si>
  <si>
    <t>Fremstilling af fiberdug og varer af fiberdug</t>
  </si>
  <si>
    <t>Branchen omfatter fremstilling af fiberdugdele, fx forbinding til sårpleje eller vådservietter til babyer.</t>
  </si>
  <si>
    <t>13.96.00</t>
  </si>
  <si>
    <t>Fremstilling af andre tekniske og industrielle tekstiler</t>
  </si>
  <si>
    <t>Branchen omfatter fremstilling af smaltvævet stof, fx dekorativt pynt, tekstiler, belagte stoffer, malerlærreder og presenninger samt stoffer af glasfibre. Branchen omfatter også fremstilling af presenninger, telte og solskærme.</t>
  </si>
  <si>
    <t>Fremstilling af dug af vævet metaltråd henvises til 25.93.00.</t>
  </si>
  <si>
    <t>13.99.00</t>
  </si>
  <si>
    <t>Fremstilling af andre tekstiler i.a.n.</t>
  </si>
  <si>
    <t>Branchen omfatter fremstilling af andre tekstiler, fx filt, tyl, blonde og broderi, selvklæbende tape og snørebånd af tekstil.</t>
  </si>
  <si>
    <t>14.10.00</t>
  </si>
  <si>
    <t>Fremstilling af strikkede og hæklede beklædningsartikler</t>
  </si>
  <si>
    <t>Branchen omfatter fremstilling af trikotage, fx strikkede eller hæklede tights og strømper samt andre strikkede eller hæklede beklædningsartikler.</t>
  </si>
  <si>
    <t>14.21.00</t>
  </si>
  <si>
    <t>Fremstilling af yderbeklædning</t>
  </si>
  <si>
    <t>Branchen omfatter fremstilling af yderbeklædning, fx jakker, busker, mv., samt skræddersyet tøj, bortset fra trikotage.</t>
  </si>
  <si>
    <t>Fremstilling af beklædningsartikler af gummi eller plast henvises til 22.12.00 eller 22.26.00. Reparation og skræddertilpasning af tøj henvises til 95.29.00.</t>
  </si>
  <si>
    <t>14.22.00</t>
  </si>
  <si>
    <t>Fremstilling af underbeklædning</t>
  </si>
  <si>
    <t>Branchen omfatter fremstilling af undertøj, nattøj og badetøj, undtagen trikotagevarer.</t>
  </si>
  <si>
    <t>14.23.00</t>
  </si>
  <si>
    <t>Fremstilling af arbejdsbeklædning</t>
  </si>
  <si>
    <t>Branchen omfatter fremstilling af arbejdsbeklædning, fx uniformer og anden officiel beklædning.</t>
  </si>
  <si>
    <t>14.24.00</t>
  </si>
  <si>
    <t>Fremstilling af beklædningsartikler af læder og pelsskind</t>
  </si>
  <si>
    <t>Branchen omfatter fremstilling af beklædningsartikler og tøjtilbehør, fx af pels eller pelsskind.</t>
  </si>
  <si>
    <t>14.29.00</t>
  </si>
  <si>
    <t>Fremstilling af andre beklædningsartikler samt tilbehør i.a.n.</t>
  </si>
  <si>
    <t>Branchen omfatter fremstilling af sportstøj af bredvævet stof, fx træningsdragter, skitøj og andet teknisk sportstøj samt hoved- og håndbeklædning, men også bælter og slips.</t>
  </si>
  <si>
    <t>15.11.00</t>
  </si>
  <si>
    <t>Garvning, beredning og farvning af læder og pelsskind</t>
  </si>
  <si>
    <t>Branchen omfatter garvning, farvning og beredning af huder og skind samt fremstilling af semsgarvet, pergamentbehandlet læder, laklæder, metaliseret læder og kunstlæder. Branchen omfatter også afskrabning, færdigberedning, garvning og farvning af huder med hår.</t>
  </si>
  <si>
    <t>15.12.00</t>
  </si>
  <si>
    <t>Fremstilling af tasker, kufferter, sadelmagervarer mv., uanset materialets art</t>
  </si>
  <si>
    <t>Branchen omfatter fremstilling af kufferter, tasker mv. af læder og af andre materialer, hvor der anvendes samme fremstillingsteknologi som til læder. Branchen omfatter også fremstilling af sadler, seletøj, ridepiske mv.</t>
  </si>
  <si>
    <t>15.20.00</t>
  </si>
  <si>
    <t>Fremstilling af fodtøj</t>
  </si>
  <si>
    <t>Branchen omfatter fremstilling af almindeligt fodtøj af ethvert materiale samt læderdele til fodtøj (såler, hæle, overdele mv.).</t>
  </si>
  <si>
    <t>Fremstilling af ortopædiske sko henvises til branche 32.50.00.</t>
  </si>
  <si>
    <t>16.11.00</t>
  </si>
  <si>
    <t>Udsavning og høvling af træ</t>
  </si>
  <si>
    <t>Branchen omfatter savning, høvling og maskinforarbejdning af træ, anden tilskæring og fremstilling af træ til jernbaner, gulvbrædder mv.</t>
  </si>
  <si>
    <t>Fremstilling af brænde eller presset træ henvises til 16.26.00.</t>
  </si>
  <si>
    <t>16.12.00</t>
  </si>
  <si>
    <t>Forarbejdning og færdigbearbejdning af træ</t>
  </si>
  <si>
    <t>Branchen omfatter forarbejdning og færdigbearbejdning af træ, som typisk udføres på honorar- eller kontraktbasis, fx udboring, tørring og behandling af træ i ufærdig form med maling, bejdsning eller andre konserveringsmidler.</t>
  </si>
  <si>
    <t>Overfladebehandling, imprægnering eller kemisk behandling af trævarer henvises til 16.27.00.</t>
  </si>
  <si>
    <t>16.21.00</t>
  </si>
  <si>
    <t>Fremstilling af finerplader og træbaserede plader</t>
  </si>
  <si>
    <t>Branchen omfatter fremstilling af finerplader, krydsfiner, OSB-plader, MDF-plader, presset træ og limtræ samt isoleringfiberplader af træ eller andre træagtige materialer.</t>
  </si>
  <si>
    <t>16.22.00</t>
  </si>
  <si>
    <t>Fremstilling af sammensatte parketstave</t>
  </si>
  <si>
    <t>Branchen omfatter fremstilling af parketstave, der samles til gulvbrædder.</t>
  </si>
  <si>
    <t>16.23.00</t>
  </si>
  <si>
    <t>Fremstilling af bygningstømmer og snedkeriartikler i øvrigt</t>
  </si>
  <si>
    <t>Branchen omfatter fremstilling af trævarer til byggesektoren, fx bjælker, spær, trapper, gelændere og saunaer.</t>
  </si>
  <si>
    <t>16.24.00</t>
  </si>
  <si>
    <t>Fremstilling af træemballage</t>
  </si>
  <si>
    <t>Branchen omfatter fremstilling af emballage af træ, fx kasser, kabeltromler, kar, tønder og paller.</t>
  </si>
  <si>
    <t>16.25.00</t>
  </si>
  <si>
    <t>Fremstilling af døre og vinduer af træ</t>
  </si>
  <si>
    <t>Branchen omfatter fremstilling af døre, vinduer og skodder i træ samt rammer hertil.</t>
  </si>
  <si>
    <t>16.26.00</t>
  </si>
  <si>
    <t>Fremstilling af fast brændsel på basis af vegetabilsk biomasse</t>
  </si>
  <si>
    <t>Branchen omfatter fremstilling af briketter, brændeknuder og piller fra savsmuld, overskudstræ, træaffald mv.</t>
  </si>
  <si>
    <t>Fremstilling af tørvebriketter henvises til 19.20.00.</t>
  </si>
  <si>
    <t>16.27.00</t>
  </si>
  <si>
    <t>Færdigbearbejdning af trævarer</t>
  </si>
  <si>
    <t>Branchen omfatter raffinering eller beskyttelse af træoverflader, der dækker over diverse overfaldebehandlinger, fx imprægnering, polering, oliering og lakering.</t>
  </si>
  <si>
    <t>Ompolstring, omlakering og reparation af møbler henvises til 95.24.00.</t>
  </si>
  <si>
    <t>16.28.00</t>
  </si>
  <si>
    <t>Fremstilling af andre trævarer og varer af kork, strå og flettematerialer</t>
  </si>
  <si>
    <t>Branchen omfatter fremstilling af øvrige varer af træ, fx dørgreb, træstatuer, køkkengrej, skoelementer og billedrammer, samt varer af kork, fx til flasker og gulvbeklædning, samt varer af strå og flettevarer.</t>
  </si>
  <si>
    <t>Fremstilling af trisser og nøgler, som er en del af tekstilmaskiner, henvises til 28.94.00.</t>
  </si>
  <si>
    <t>17.11.00</t>
  </si>
  <si>
    <t>Fremstilling af papirmasse</t>
  </si>
  <si>
    <t>Branchen omfatter fremstilling af papirmasse, som kan være dannet ved mekaniske eller kemiske processer, og inkluderer fjernelse af tryksværte.</t>
  </si>
  <si>
    <t>17.12.00</t>
  </si>
  <si>
    <t>Fremstilling af papir og pap</t>
  </si>
  <si>
    <t>Branchen omfatter fremstilling af papir og pap til yderligere industriel forarbejdning, fx overfladebehandling, belægning og imprægnering (sekundær bestanddel), fremstilling af håndlavet papir, avispapir og karbonpapir.</t>
  </si>
  <si>
    <t>Fremstilling af bølgepapir og -pap henvises til 17.21.00.</t>
  </si>
  <si>
    <t>17.21.00</t>
  </si>
  <si>
    <t>Fremstilling af bølgepap, pap og emballage af papir og pap</t>
  </si>
  <si>
    <t>Branchen omfatter fremstilling af emballage af papir og pap samt bølgepap og -papir. Branchen omfatter også fremstilling af fx æsker, kartoner, poser og sække af papir og pap.</t>
  </si>
  <si>
    <t>Æggebakker og anden emballage, der er fremstillet af støbt eller presset papirmasse, henvises til 17.25.00.</t>
  </si>
  <si>
    <t>17.22.00</t>
  </si>
  <si>
    <t>Fremstilling af husholdningsartikler og hygiejneartikler samt toiletartikler af papir og pap</t>
  </si>
  <si>
    <t>Branchen omfatter fremstilling af husholdningspapir, papir til personlig hygiejne og andre produkter, fx renseservietter, toiletpapir og engangsservice.</t>
  </si>
  <si>
    <t>17.23.00</t>
  </si>
  <si>
    <t>Fremstilling af kontorartikler af papir</t>
  </si>
  <si>
    <t>Branchen omfatter fremstilling af kontorartikler af papir, fx skrivepapir, printerpapir, kuverter og notesbøger.</t>
  </si>
  <si>
    <t>17.24.00</t>
  </si>
  <si>
    <t>Fremstilling af tapet</t>
  </si>
  <si>
    <t>Branchen omfatter fremstilling af tapet og lignende vægbeklædning.</t>
  </si>
  <si>
    <t>Plasttapet henvises til 22.26.00.</t>
  </si>
  <si>
    <t>17.25.00</t>
  </si>
  <si>
    <t>Fremstilling af andre papir- og papvarer</t>
  </si>
  <si>
    <t>Branchen omfatter andre papir- og papvarer, fx filtrerpapir, cigaretpapir, trisser, spoler og papirgadgets og papkort.</t>
  </si>
  <si>
    <t>18.11.00</t>
  </si>
  <si>
    <t>Trykning af dagblade</t>
  </si>
  <si>
    <t>Branchen omfatter trykning af dagblade mv., der udkommer mindst 4 gange om ugen.</t>
  </si>
  <si>
    <t>18.12.00</t>
  </si>
  <si>
    <t>Anden trykning</t>
  </si>
  <si>
    <t>Branchen omfatter trykning af magasiner og tidskrifter, der udkommer mindre end fire gange om ugen, samt trykning af bøger og brochurer, frimærker, kort, plakater, etiketter og anden trykt reklame. Fremstilling af spillekort, trykning af fotografier samt tryk til annoncering er også omfattet.</t>
  </si>
  <si>
    <t>18.13.00</t>
  </si>
  <si>
    <t>Prepress- og premedia-arbejde</t>
  </si>
  <si>
    <t>Branchen omfatter forberedende arbejder inden trykning (fysisk eller digitalt), fx sætning, forpresning af datainput, udarbejdelse af datafiler, forberedelse af plader mv.</t>
  </si>
  <si>
    <t>18.14.00</t>
  </si>
  <si>
    <t>Bogbinding og lignende serviceydelser</t>
  </si>
  <si>
    <t>Branchen omfatter serviceydelser i forbindelse med færdigbearbejdning af bøger, tryksager og optiske medier (fx cd-rom eller dvd), fx foldning, hæftning, laminering, prægning og gravering.</t>
  </si>
  <si>
    <t>18.20.00</t>
  </si>
  <si>
    <t>Reproduktion af indspillede medier</t>
  </si>
  <si>
    <t>Branchen omfatter reproduktion af grammofonplader, cd'er, bånd mv., fx med musik eller film.</t>
  </si>
  <si>
    <t>Fremstilling og distribution af film, videobånd og dvd'er eller lignende medier henvises til 59.11.00, 59.12.00 og 59.13.00.</t>
  </si>
  <si>
    <t>19.10.00</t>
  </si>
  <si>
    <t>Fremstilling af koksovnsprodukter</t>
  </si>
  <si>
    <t>Branchen omfatter fremstilling af koks, beg, råkul og brunkulstjære.</t>
  </si>
  <si>
    <t>Fremstilling af briketter henvises til 19.20.00.</t>
  </si>
  <si>
    <t>19.20.00</t>
  </si>
  <si>
    <t>Fremstilling af raffinerede mineralolieprodukter og fossile brændstoffer</t>
  </si>
  <si>
    <t>Branchen omfatter fremstilling af raffinerede mineralolieprodukter og fossile brændstoffer, fx brændstof, motorbrændstof, smøreolier og oliebriketter, inkl. forskellige produkter fra spildolie.</t>
  </si>
  <si>
    <t>Fremstilling af fast brændsel fra biomasse henvises til 16.26.00.</t>
  </si>
  <si>
    <t>20.11.00</t>
  </si>
  <si>
    <t>Fremstilling af industrigasser</t>
  </si>
  <si>
    <t>Branchen omfatter fremstilling af flydende eller komprimerede uorganiske industrigasser eller medicinske gasser, fx kølegasser, ædelgasser og isoleringsgas.</t>
  </si>
  <si>
    <t>Fremstilling af brændgas, fx ætan, butan eller propan i et olieraffinaderi henvises til 19.20.00.</t>
  </si>
  <si>
    <t>20.12.00</t>
  </si>
  <si>
    <t>Fremstilling af farvestoffer og pigmenter</t>
  </si>
  <si>
    <t>Branchen omfatter fremstilling af farvestoffer og pigmenter, fx til fremstilling af optisk hvidt.</t>
  </si>
  <si>
    <t>Fremstilling af færdiglavede farvestoffer og pigmenter henvises til 20.30.00.</t>
  </si>
  <si>
    <t>20.13.00</t>
  </si>
  <si>
    <t>Fremstilling af andre uorganiske basiskemikalier</t>
  </si>
  <si>
    <t>Branchen omfatter fremstilling af kemiske grundstoffer (undtagen industrigasser og basismetaller), fx uorganiske syrer, undtagen salpetersyre.</t>
  </si>
  <si>
    <t>20.14.00</t>
  </si>
  <si>
    <t>Fremstilling af andre organiske basiskemikalier</t>
  </si>
  <si>
    <t>Branchen omfatter fremstilling af organiske basiskemikalier, fx acyklisk carbonhybrid, aldehyder og aminer samt gæring af sukkerrør (fx til produktion af alkohol).</t>
  </si>
  <si>
    <t>Branchen omfatter også fremstilling af ethanol, bortset fra bioethanolbrændstof, som henvises til 20.51.00.</t>
  </si>
  <si>
    <t>20.15.00</t>
  </si>
  <si>
    <t>Fremstilling af gødningsstoffer og nitrogenprodukter</t>
  </si>
  <si>
    <t>Branchen omfatter fremstilling af gødningsstoffer og nitrogenprodukter, fx carbamid, salpetersyre, pottemuld samt fremstillinger af andre gødningsstoffer, fx ved hjælp af kemisk behandling af animalske eller vegetabilske produkter.</t>
  </si>
  <si>
    <t>20.16.00</t>
  </si>
  <si>
    <t>Fremstilling af plast i ubearbejdet form</t>
  </si>
  <si>
    <t>Branchen omfatter fremstilling af polymerer, forskellige former for harpiks, cellulose, plastpulvere og granulater samt genanvendt plast.</t>
  </si>
  <si>
    <t>20.17.00</t>
  </si>
  <si>
    <t>Fremstilling af syntetisk gummi i ubearbejdet form</t>
  </si>
  <si>
    <t>Branchen omfatter fremstilling af syntetisk gummi, fx syntetisk gummi og factis samt fremstilling af blandinger af syntetisk gummi og naturgummi.</t>
  </si>
  <si>
    <t>20.20.00</t>
  </si>
  <si>
    <t>Fremstilling af pesticider, desinfektionsmidler og andre agrokemiske produkter</t>
  </si>
  <si>
    <t>Branchen omfatter fremstilling af bekæmpelsesmidler, fx til at bekæmpe insekter, gnavere, svampe, ukrudt og snegle, samt fremstilling af planteveækstreguleringsmidler, desinfektionsmidler (til landbrug) og agrokemiske produkter.</t>
  </si>
  <si>
    <t>20.30.00</t>
  </si>
  <si>
    <t>Fremstilling af maling, lak og lignende overfladebehandlingsmidler, trykfarver samt tætningsmaterialer</t>
  </si>
  <si>
    <t>Branchen omfatter fremstilling af maling, lak mv., fx fernis, emalje, færdiglavede pigmenter og farvestoffer, opløsningsmidler, fugemasser og trykfarve.</t>
  </si>
  <si>
    <t>Fremstilling af farvestoffer, tuffer og pigmenter henvises til 20.12.00.</t>
  </si>
  <si>
    <t>20.41.00</t>
  </si>
  <si>
    <t>Fremstilling af sæbe, rengørings- og rensemidler samt poleremidler</t>
  </si>
  <si>
    <t>Branchen omfatter fremstilling af sæbe, rengørings- og rensemidler samt poleringmidler, fx papir, vat, filt, vaskepulvere, rengøringsmidler, opvaskemidler og skyllemidler.</t>
  </si>
  <si>
    <t>Fremstilling af kosmetisk sæbe henvises til 20.42.00.</t>
  </si>
  <si>
    <t>20.42.00</t>
  </si>
  <si>
    <t>Fremstilling af parfume, hårshampoo, tandpasta mv.</t>
  </si>
  <si>
    <t>Branchen omfatter fremstilling af parfume, hårshampoo og tandpasta, inkl. barberpræparater, deodoranter og badesalt samt hårfjerningsmidler og kosmetisk sæbe.</t>
  </si>
  <si>
    <t>20.51.00</t>
  </si>
  <si>
    <t>Fremstilling af flydende biobrændstoffer</t>
  </si>
  <si>
    <t>Branchen omfatter fremstilling af flydende biobrændstoffer, fx biodiesel, ethanol fra biomasse og flydende biobrændstoffer.</t>
  </si>
  <si>
    <t>20.59.00</t>
  </si>
  <si>
    <t>Fremstilling af andre kemiske produkter i.a.n.</t>
  </si>
  <si>
    <t>Branchen omfatter fremstilling af andre kemiske produkter, fx kemiske præparater til fotografisk brug, sprængstoffer, væsker til brug i dampenheder, kemisk modificerede olier og fedstoffer samt pulvere og pastaer, der bruges til lodning.</t>
  </si>
  <si>
    <t>20.60.00</t>
  </si>
  <si>
    <t>Fremstilling af kemofibre</t>
  </si>
  <si>
    <t>Branchen omfatter fremstilling af kemofibre, fx syntetiske eller kunstige filamenter, filamentgarn og genanvendte fibre.</t>
  </si>
  <si>
    <t>Fremstilling af garn lavet af regenereret fiber henvises til 13.10.00.</t>
  </si>
  <si>
    <t>21.10.00</t>
  </si>
  <si>
    <t>Fremstilling af farmaceutiske råvarer</t>
  </si>
  <si>
    <t>Branchen omfatter fremstilling af farmaceutiske råvarer til brug i fx lægemidler. Branchen omfatter også forarbejdning af blod, fremstilling af kemisk rent sukker og forarbejdning af kirtler.</t>
  </si>
  <si>
    <t>21.20.00</t>
  </si>
  <si>
    <t>Fremstilling af farmaceutiske præparater</t>
  </si>
  <si>
    <t>Branchen omfatter fremstilling af lægemidler, fx vacciner og homøopatiske præparater samt fremstilling af vat, gaze, bandager, forbindinger mv. imprægneret med lægemidler.</t>
  </si>
  <si>
    <t>22.11.00</t>
  </si>
  <si>
    <t>Fremstilling og vulkanisering af gummidæk og fremstilling af gummislanger</t>
  </si>
  <si>
    <t>Branchen omfatter fremstilling af gummidæk og gummislanger til diverse køretøjer, herunder også fremstilling af slidbaner og regummiering.</t>
  </si>
  <si>
    <t>22.12.00</t>
  </si>
  <si>
    <t>Fremstilling af andre gummiprodukter</t>
  </si>
  <si>
    <t>Branchen omfatter fremstilling af andre produkter af naturligt eller syntetisk gummi, fx gummitransportbånd, hygiejniske gummiprodukter, ekspansionsfuger af gummi til byggesektoren og beklædning af latex (limet og ikke syet).</t>
  </si>
  <si>
    <t>22.21.00</t>
  </si>
  <si>
    <t>Fremstilling af plader, ark, rør og slanger samt profiler af plast</t>
  </si>
  <si>
    <t>Branchen omfatter fremstilling af både færdigvarer og halvfabrikata af plast.</t>
  </si>
  <si>
    <t>Fremstilling af plast i ubearbejdet form henvises til 20.16.00 og fremstilling af emballage af plast henvises til 22.22.00.</t>
  </si>
  <si>
    <t>22.22.00</t>
  </si>
  <si>
    <t>Fremstilling af plastemballage</t>
  </si>
  <si>
    <t>Branchen omfatter fremstilling af plastemballage, fx poser, kasser og flasker.</t>
  </si>
  <si>
    <t>22.23.00</t>
  </si>
  <si>
    <t>Fremstilling af døre og vinduer af plast</t>
  </si>
  <si>
    <t>Branchen omfatter fremstilling af døre og vinduer med rammer af plast samt skodder og persienner af plast.</t>
  </si>
  <si>
    <t>22.24.00</t>
  </si>
  <si>
    <t>Fremstilling af bygningsartikler af plast</t>
  </si>
  <si>
    <t>Branchen omfatter fremstilling af andre bygningsartikler af plast, fx fodpaneler, tanke, gulvbelægninger til gulve, samt sanitetsartikler af en blanding af plast og mineraler.</t>
  </si>
  <si>
    <t>Fremstilling af gulvbelægning af gummi henvises til 22.12.00.</t>
  </si>
  <si>
    <t>22.25.00</t>
  </si>
  <si>
    <t>Forarbejdning og færdigbehandling af plastprodukter</t>
  </si>
  <si>
    <t>Branchen omfatter forarbejdning og færdigbehandling af plast, fx klipning, svejsning, gravering og overfladebehandling af plast.</t>
  </si>
  <si>
    <t>Beklædning af metalrør med plast og svejsning af plasttanke er også omfattet, hvorimod overfladebehandling af metaloverflader med plast henvises til 25.51.00.</t>
  </si>
  <si>
    <t>22.26.00</t>
  </si>
  <si>
    <t>Fremstilling af andre plastprodukter</t>
  </si>
  <si>
    <t>Branchen omfatter fremstilling af produkter i plast, fx service, køkkengrej, toiletartikler og beklædningsartikler.</t>
  </si>
  <si>
    <t>Fremstilling af fodtøj af plast henvises til 15.20.00.</t>
  </si>
  <si>
    <t>23.11.00</t>
  </si>
  <si>
    <t>Fremstilling af planglas</t>
  </si>
  <si>
    <t>Branchen omfatter fremstilling af planglas, herunder trådarmeret, farvet eller tonet glas.</t>
  </si>
  <si>
    <t>Formning og forarbejdning af planglas henvises til 23.12.00.</t>
  </si>
  <si>
    <t>23.12.00</t>
  </si>
  <si>
    <t>Formning og forarbejdning af planglas</t>
  </si>
  <si>
    <t>Branchen omfatter formning og forarbejdning af planglas, herunder hærdning og laminering, samt fremstilling af glasspejle og termoruder.</t>
  </si>
  <si>
    <t>Fremstilling af spejle til køretøjer henvises til 29.32.00.</t>
  </si>
  <si>
    <t>23.13.00</t>
  </si>
  <si>
    <t>Fremstilling af flasker, drikkeglas mv.</t>
  </si>
  <si>
    <t>Branchen omfatter fremstilling af glasvarer, fx flasker, drikkeglas og andre husholdningsartikler af glas. Branchen omfatter også skæring og dekorering af drikkeglas.</t>
  </si>
  <si>
    <t>Trykning på glas henvises til 18.12.00.</t>
  </si>
  <si>
    <t>23.14.00</t>
  </si>
  <si>
    <t>Fremstilling af glasfiber</t>
  </si>
  <si>
    <t>Branchen omfatter fremstilling af glasfiber, herunder glasuld og ikke-vævede produkter af glasuld samt produkter af glasfiber.</t>
  </si>
  <si>
    <t>Fremstilling af slaggeuld, stenuld og lignende mineralsk uld henvises til 23.99.90.</t>
  </si>
  <si>
    <t>23.15.00</t>
  </si>
  <si>
    <t>Fremstilling og bearbejdning af andet glas, herunder teknisk glas</t>
  </si>
  <si>
    <t>Branchen omfatter fremstilling og bearbejdning af glas, fx glasvarer til laboratorier, ure, glasindsatser til lamper og glasvægge.</t>
  </si>
  <si>
    <t>23.20.00</t>
  </si>
  <si>
    <t>Fremstilling af ildfaste produkter</t>
  </si>
  <si>
    <t>Branchen omfatter fremstilling af ildfaste produkter, fx ildfast mørtel, beton og mursten. Fremstilling af halvfabrikata, fx sand, grus, ler og sten, er også omfattet.</t>
  </si>
  <si>
    <t>23.31.00</t>
  </si>
  <si>
    <t>Fremstilling af keramiske teglsten og gulvfliser</t>
  </si>
  <si>
    <t>Branchen omfatter fremstilling af keramiske teglsten og gulvfliser, inkl. væg- eller mosaikfliser og belægningssten.</t>
  </si>
  <si>
    <t>Fremstilling af keramiske mursten og tagsten henvises til 23.32.00.</t>
  </si>
  <si>
    <t>23.32.00</t>
  </si>
  <si>
    <t>Fremstilling af mursten, teglsten og byggematerialer af brændt ler</t>
  </si>
  <si>
    <t>Branchen omfatter fremstilling af strukturerede ikke-ildfaste keramiske artikler og gulvfliser i brændt ler.</t>
  </si>
  <si>
    <t>23.41.00</t>
  </si>
  <si>
    <t>Fremstilling af keramiske husholdningsartikler og pyntegenstande</t>
  </si>
  <si>
    <t>Branchen omfatter fremstilling af keramiske husholdningsartikler og pyntegenstande, fx service, køkkentøj og statuetter.</t>
  </si>
  <si>
    <t>23.42.00</t>
  </si>
  <si>
    <t>Fremstilling af keramiske sanitetsartikler</t>
  </si>
  <si>
    <t>Branchen omfatter fremstilling af keramiske sanitetsartikler, fx håndvaske, badekar og toiletkummer.</t>
  </si>
  <si>
    <t>23.43.00</t>
  </si>
  <si>
    <t>Fremstilling af keramiske isolatorer og isoleringsdele</t>
  </si>
  <si>
    <t>Branchen omfatter fremstilling af elektriske isolatorer og isoleringsdele af keramik til elarbejde.</t>
  </si>
  <si>
    <t>23.44.00</t>
  </si>
  <si>
    <t>Fremstilling af andre keramiske produkter til teknisk brug</t>
  </si>
  <si>
    <t>Branchen omfatter fremstilling af keramiske artikler til teknisk brug, fx permanente magneter eller keramiske produkter til brug i laboratorier.</t>
  </si>
  <si>
    <t>23.45.00</t>
  </si>
  <si>
    <t>Fremstilling af andre keramiske produkter</t>
  </si>
  <si>
    <t>Branchen omfatter fremstilling af andre keramiske produkter til transport eller emballering, fx potter og krukker, samt til landbrugsformål, fx keramiske trug og kar.</t>
  </si>
  <si>
    <t>23.51.00</t>
  </si>
  <si>
    <t>Fremstilling af cement</t>
  </si>
  <si>
    <t>Branchen omfatter fremstilling af forskellige former for cement og klinker.</t>
  </si>
  <si>
    <t>Fremstilling af cement, der bruges i tandlægearbejde, henvises til 32.50.00.</t>
  </si>
  <si>
    <t>23.52.00</t>
  </si>
  <si>
    <t>Fremstilling af kalk og gips</t>
  </si>
  <si>
    <t>Branchen omfatter fremstilling af kalk og gips.</t>
  </si>
  <si>
    <t>Fremstilling af gipsartikler henvises til 23.62.00 og 23.66.00.</t>
  </si>
  <si>
    <t>23.61.00</t>
  </si>
  <si>
    <t>Fremstilling af byggematerialer af beton</t>
  </si>
  <si>
    <t>Branchen omfatter fremstilling af byggematerialer af beton, fx fliser, plader og rør, samt præfabrikerede betonelementer til fx regnvandshåndtering.</t>
  </si>
  <si>
    <t>23.62.00</t>
  </si>
  <si>
    <t>Fremstilling af byggematerialer af gips</t>
  </si>
  <si>
    <t>Branchen omfatter fremstilling af byggematerialer af gips, fx plader, paneler og fliser.</t>
  </si>
  <si>
    <t>23.63.00</t>
  </si>
  <si>
    <t>Fremstilling af færdigblandet beton</t>
  </si>
  <si>
    <t>Branchen omfatter fremstilling af færdigblandet beton og mørtel.</t>
  </si>
  <si>
    <t>Vognmandstransport med cement henvises til 49.41.00.</t>
  </si>
  <si>
    <t>23.64.00</t>
  </si>
  <si>
    <t>Fremstilling af mørtel</t>
  </si>
  <si>
    <t>Branchen omfatter fremstilling af ikke-ildfast mørtel og beton, som endnu ikke er blandet med vand.</t>
  </si>
  <si>
    <t>23.65.00</t>
  </si>
  <si>
    <t>Fremstilling af fibercement</t>
  </si>
  <si>
    <t>Branchen omfatter fremstilling af fibercement, fx fremstilling af artikler af vegetabilske stoffer, artikler af asbestcement eller cement af cellulosefibre.</t>
  </si>
  <si>
    <t>23.66.00</t>
  </si>
  <si>
    <t>Fremstilling af andre produkter af beton, cement og gips</t>
  </si>
  <si>
    <t>Branchen omfatter fremstilling af andre artikler af beton, gips eller sammensætninger baseret på gips, cement eller kunststen. Fremstilling af udsmykkede plader eller paneler af gips er også omfattet.</t>
  </si>
  <si>
    <t>Fremstilling af præfabrikerede beton-, cement- eller kunststensartikler til brug i byggeri henvises til 23.61.00.</t>
  </si>
  <si>
    <t>23.70.00</t>
  </si>
  <si>
    <t>Tilhugning, tilskæring og færdigbearbejdning af sten</t>
  </si>
  <si>
    <t>Branchen omfatter tilskæring, tilhugning og færdigbearbejdning af sten, fx til byggeri, veje og kirkegårde.</t>
  </si>
  <si>
    <t>23.91.00</t>
  </si>
  <si>
    <t>Fremstilling af slibemidler</t>
  </si>
  <si>
    <t>Branchen omfatter fremstilling af naturlige og kunstige slibemidler, fx møllesten og slibesten. Fremstilling af naturligt eller kunstigt skurepulver eller slibekorn baseret på tekstiler, pap eller andre materialer er også omfattet.</t>
  </si>
  <si>
    <t>23.99.10</t>
  </si>
  <si>
    <t>Fremstilling af asfalt og tagpap</t>
  </si>
  <si>
    <t>Branchen omfatter fremstilling af asfalt og tagpap, fx artikler af asfalt eller lignende materiale såsom asfaltbitumen eller kultjærebeg.</t>
  </si>
  <si>
    <t>23.99.90</t>
  </si>
  <si>
    <t>Fremstilling af andre ikke-metalholdige mineralske produkter, bortset fra asfalt og tagpap</t>
  </si>
  <si>
    <t>Branchen omfatter fremstilling af ikke-metalholdige mineralske produkter, fx isoleringsmaterialer.</t>
  </si>
  <si>
    <t>24.10.00</t>
  </si>
  <si>
    <t>Fremstilling af råjern og råstål samt jernlegeringer</t>
  </si>
  <si>
    <t>Branchen omfatter fremstilling af råjern og råstål samt jernlegeringer, fx ferrolegeringer, granulereat jern og valsede produkter af stål. Drift af højovne og fremstilling af højovnsgas er også omfattet.</t>
  </si>
  <si>
    <t>24.20.00</t>
  </si>
  <si>
    <t>Fremstilling af rør, hule profiler og tilhørende fittings af stål</t>
  </si>
  <si>
    <t>Branchen omfatter fremstilling af rør, hule profiler og tilhørende fittings af stål mv., herunder sømløse rør, bortset fra fremstilling af sømløse stålrør ved centrifugalstøbning, hvilket henvises til 24.52.00.</t>
  </si>
  <si>
    <t>24.31.00</t>
  </si>
  <si>
    <t>Fremstilling af stænger ved koldtrækning</t>
  </si>
  <si>
    <t>Branchen omfatter fremstilling af stålrør og massive sektioner af stål ved koldtrækning, slibning eller kold færdigbearbejdning.</t>
  </si>
  <si>
    <t>24.32.00</t>
  </si>
  <si>
    <t>Fremstilling af stålbånd ved koldvalsning</t>
  </si>
  <si>
    <t>Branchen omfatter fremstilling af fladvalsede stålprodukter ved koldvalsning af varmevalsede flade produkter eller stålstænger. Produkterne kan være med eller uden belægning, oprullede eller i lige stykker - bredden skal være mindre end 600 mm.</t>
  </si>
  <si>
    <t>24.33.00</t>
  </si>
  <si>
    <t>Koldbehandling</t>
  </si>
  <si>
    <t>Branchen omfatter fremstilling af åbne sektioner ved progressiv koldbehandling på en valsemølle.</t>
  </si>
  <si>
    <t>Fremstilling af zinklpulver ved atomisering af smeltet zink henvises til 24.43.00.</t>
  </si>
  <si>
    <t>24.34.00</t>
  </si>
  <si>
    <t>Fremstilling af tråd ved koldtrækning</t>
  </si>
  <si>
    <t>Branchen omfatter fremstilling af trukket sålarmering ved koldtrækning af valsetråd.</t>
  </si>
  <si>
    <t>24.41.00</t>
  </si>
  <si>
    <t>Fremstilling af ædelmetaller</t>
  </si>
  <si>
    <t>Branchen omfatter fremstilling og raffinering af både bearbejdede og ubearbejdede ædelmetaller, fx guld, sølv, platin mv., samt legeringer af disse.</t>
  </si>
  <si>
    <t>Støbning af kobber, zink og andre ikke-jernholdige metaller henvises til 24.54.00.</t>
  </si>
  <si>
    <t>24.42.00</t>
  </si>
  <si>
    <t>Fremstilling af aluminium</t>
  </si>
  <si>
    <t>Branchen omfatter fremstilling af aluminium, fx ubearbejdet aluminium, legeret og ikke-legeret, samt fremstilling af rør, rørfittings og folie i aluminium.</t>
  </si>
  <si>
    <t>Støbning af aluminium og andre lette metaller henvises til 24.53.00.</t>
  </si>
  <si>
    <t>24.43.00</t>
  </si>
  <si>
    <t>Fremstilling af bly, zink og tin</t>
  </si>
  <si>
    <t>Branchen omfatter fremstilling af ubearbejdet bly, zink eller tin samt stænger, profiler og folie af bly, zink eller tin.</t>
  </si>
  <si>
    <t>Støbning af bly, zink og tin henvises til 24.54.00.</t>
  </si>
  <si>
    <t>24.44.00</t>
  </si>
  <si>
    <t>Fremstilling af kobber</t>
  </si>
  <si>
    <t>Branchen omfatter fremstilling af kobber, fx fremstilling af stænger, profiler, wire af kobber samt kobberfolie. Branchen omfatter også fremstilling af stænger, profiler, plader, bånd, wire og rør af messing.</t>
  </si>
  <si>
    <t>Støbning af kobber henvises til 24.54.00.</t>
  </si>
  <si>
    <t>24.45.00</t>
  </si>
  <si>
    <t>Anden fremstilling af ikke-jernholdige metaller</t>
  </si>
  <si>
    <t>Branchen omfatter fremstilling af ubearbejdet krom, mangan og nikkel samt fremstilling af stænger, profiler, plader og bånd deraf.</t>
  </si>
  <si>
    <t>24.46.00</t>
  </si>
  <si>
    <t>Oparbejdning af nukleart brændsel</t>
  </si>
  <si>
    <t>Branchen omfatter fremstilling af naturligt uran og legeringer af uran samt smeltning og raffinering heraf.</t>
  </si>
  <si>
    <t>24.51.00</t>
  </si>
  <si>
    <t>Støbning af jernprodukter</t>
  </si>
  <si>
    <t>Branchen omfatter støbning af jernprodukter af alle typer jern.</t>
  </si>
  <si>
    <t>24.52.00</t>
  </si>
  <si>
    <t>Støbning af stålprodukter</t>
  </si>
  <si>
    <t>Branchen omfatter støbning af stålprodukter af alle typer stål, herunder støbninger af kulstof.</t>
  </si>
  <si>
    <t>24.53.00</t>
  </si>
  <si>
    <t>Støbning af letmetalprodukter</t>
  </si>
  <si>
    <t>Branchen omfatter støbning af letmetalprodukter, fx aluminium, magnesium og titanium, herunder støbning af dentalredskaber mv. af letmetaller.</t>
  </si>
  <si>
    <t>24.54.00</t>
  </si>
  <si>
    <t>Støbning af andre ikke-jernholdige metalprodukter</t>
  </si>
  <si>
    <t>Branchen omfatter støbning af andre ikke-jernholdige metalprodukter, fx kobber, zink, bly - eller nikkellegeringer. Støbning af dentalredskaber mv. af ikke-jernholdige metaller, dvs. ikke-letmetaller, er også omfattet.</t>
  </si>
  <si>
    <t>25.11.00</t>
  </si>
  <si>
    <t>Fremstilling af metalkonstruktioner og dele heraf</t>
  </si>
  <si>
    <t>Branchen omfatter fremstilling af metalkonstruktioner og dele heraf, fx master, udstyr til stilladser, arbejdsskure og bærende konstruktioner af metal, fx til lys eller højttalere.</t>
  </si>
  <si>
    <t>25.12.00</t>
  </si>
  <si>
    <t>Fremstilling af døre og vinduer af metal</t>
  </si>
  <si>
    <t>Branchen omfatter fremstilling af døre, vinduer, skodder, porte og lignende af metal.</t>
  </si>
  <si>
    <t>25.21.00</t>
  </si>
  <si>
    <t>Fremstilling af radiatorer, damp- og fyringskedler til centralvarmeanlæg</t>
  </si>
  <si>
    <t>Branchen omfatter fremstilling af radiatorer, damp- og fyringskedler til centralvarmeanlæg og kondensatorer til damp og kernereaktorer.</t>
  </si>
  <si>
    <t>25.22.00</t>
  </si>
  <si>
    <t>Fremstilling af andre tanke og beholdere af metal</t>
  </si>
  <si>
    <t>Branchen omfatter fremstilling af reservoirer, tanke, kar og lignende beholdere med en kapacitet på minimum 300 liter.</t>
  </si>
  <si>
    <t>25.30.00</t>
  </si>
  <si>
    <t>Fremstilling af våben og ammunition</t>
  </si>
  <si>
    <t>Branchen omfatter fremstilling af militære våben og ammunition, fx maskingeværer, bomber, missiler og patronhylstre til geværer. Fremstilling af skydevåben og ammunition til jagt, sport eller beskyttelse er også omfattet.</t>
  </si>
  <si>
    <t>Fremstilling af huggerter, sværd, bajonetter mv. henvises til 25.61.00.</t>
  </si>
  <si>
    <t>25.40.00</t>
  </si>
  <si>
    <t>Smedning og valsning af metal samt pulvermetallurgi</t>
  </si>
  <si>
    <t>Branchen omfatter smedning og valsning af metal samt pulvermetallurgi og efterfølgende bearbejdning.</t>
  </si>
  <si>
    <t>25.51.00</t>
  </si>
  <si>
    <t>Overfladebehandling af metal</t>
  </si>
  <si>
    <t>Branchen omfatter overfladebehandling af metal, fx galvanisering, beklædning, farvning og emaljering.</t>
  </si>
  <si>
    <t>25.52.00</t>
  </si>
  <si>
    <t>Varmebehandling af metal</t>
  </si>
  <si>
    <t>Branchen omfatter varmebehandling af metal, fx forvarmning, glødning, hærdning, oxidering og borering.</t>
  </si>
  <si>
    <t>25.53.00</t>
  </si>
  <si>
    <t>Maskinforarbejdning af metal</t>
  </si>
  <si>
    <t>Branchen omfatter maskinforarbejdning af metal, fx drejning, fræsning, slibning og svejsning.</t>
  </si>
  <si>
    <t>25.61.00</t>
  </si>
  <si>
    <t>Fremstilling af bestik, skære- og klipperedskaber</t>
  </si>
  <si>
    <t>Branchen omfatter fremstilling af produkter i metal, fx bestik og skære- og klipperedskaber samt fremstilling af huggerter, sværd, bajonetter mv.</t>
  </si>
  <si>
    <t>Fremstilling af bestik, skære- og klipperedskaber af ædelmetal henvises til 32.12.00.</t>
  </si>
  <si>
    <t>25.62.00</t>
  </si>
  <si>
    <t>Fremstilling af låse og hængsler</t>
  </si>
  <si>
    <t>Branchen omfatter fremstilling af isenkram i metal, fx låse, hængsler og beslag til bygninger, møbler, køretøjer mv.</t>
  </si>
  <si>
    <t>25.63.00</t>
  </si>
  <si>
    <t>Fremstilling af håndværktøj</t>
  </si>
  <si>
    <t>Branchen omfatter fremstilling af håndværktøj, fx knive og klinger til maskiner eller mekaniske apparater, save og savklinger samt udskifteligt værktøj til håndværktøj.</t>
  </si>
  <si>
    <t>Fremstilling af eldrevet håndværktøj henvises til 28.24.00.</t>
  </si>
  <si>
    <t>25.91.00</t>
  </si>
  <si>
    <t>Fremstilling af metaltønder og lignende beholdere</t>
  </si>
  <si>
    <t>Branchen omfatter fremstilling af tanke og tønder af metal samt lignende beholdere af jern og stål med en kapacitet på højst 300 liter.</t>
  </si>
  <si>
    <t>25.92.00</t>
  </si>
  <si>
    <t>Fremstilling af letmetalemballage</t>
  </si>
  <si>
    <t>Branchen omfatter fremstilling af emballage af letmetal, fx dunke af jern eller stål, dåser til fødevarer, komprimerbare kasser og tuber, samt fremstilling af metallukninger.</t>
  </si>
  <si>
    <t>25.93.00</t>
  </si>
  <si>
    <t>Fremstilling af trådvarer, kæder og fjedre</t>
  </si>
  <si>
    <t>Branchen omfatter fremstilling af trådvarer, kæder og fjedre, fx kabler med metalelementer, søm og bolte, blade til fjedre og fremstilling af kæder.</t>
  </si>
  <si>
    <t>Fremstilling af urfjedre henvises til 26.52.00 og fremstilling af kraftoverføringskæder henvises til 28.15.00.</t>
  </si>
  <si>
    <t>25.94.00</t>
  </si>
  <si>
    <t>Fremstilling af lukkeanordninger, bolte, skruer og møtrikker</t>
  </si>
  <si>
    <t>Branchen omfatter fremstilling af lukkeanordninger, bolte, skruer og møtrikker, fx nitter, bolte og skruer med og uden gevind.</t>
  </si>
  <si>
    <t>25.99.00</t>
  </si>
  <si>
    <t>Fremstilling af andre færdige metalprodukter i.a.n.</t>
  </si>
  <si>
    <t>Branchen omfatter fremstilling af andre færdige metalprodukter, fx husholdningsartikler, pengeskabe, skibsskruer, stiger, termokander og militære værdighedstegn af metal.</t>
  </si>
  <si>
    <t>26.11.00</t>
  </si>
  <si>
    <t>Fremstilling af elektroniske komponenter</t>
  </si>
  <si>
    <t>Branchen omfatter fremstilling af elektroniske komponenter, fx kondensatorer, elektroniske krystaller, mikroprocessorer, induktionsspoler og skærmkomponenter.</t>
  </si>
  <si>
    <t>Fremstilling af computer- og tv-skærme henvises til 26.20.00.</t>
  </si>
  <si>
    <t>26.12.00</t>
  </si>
  <si>
    <t>Fremstilling af printplader o.lign.</t>
  </si>
  <si>
    <t>Branchen omfatter fremstilling af ladede printplader, kontakter, passive elementkomponenter på printplader samt interfacekort, fx lyd, video eller netværk ladet med passive elementer.</t>
  </si>
  <si>
    <t>26.20.00</t>
  </si>
  <si>
    <t>Fremstilling af computere og ydre enheder</t>
  </si>
  <si>
    <t>Branchen omfatter fremstilling af computere, fx stationære og bærbare, samt computerudstyr, fx printere, skærme, mus og tastaturer, samt fremstilling af multifunktionelt kontorudstyr.</t>
  </si>
  <si>
    <t>Fremstilling af mobiltelefoner henvises til 26.30.00.</t>
  </si>
  <si>
    <t>26.30.00</t>
  </si>
  <si>
    <t>Fremstilling af kommunikationsudstyr</t>
  </si>
  <si>
    <t>Branchen omfatter fremstilling af kommunikationsudstyr, fx telefoncentraludstyr, mobiltelefoner, personsøgere og modemmer, inkl. smart-watches.</t>
  </si>
  <si>
    <t>Fremstilling af elektroniske komponenter og delkomponenter, der bruges i kommunikationsudstyr, henvises til 26.12.00.</t>
  </si>
  <si>
    <t>26.40.00</t>
  </si>
  <si>
    <t>Fremstilling af elektronik til husholdninger</t>
  </si>
  <si>
    <t>Branchen omfatter fremstilling af elektronik til husholdninger, fx tv'er, højttalersystemer, mikrofoner, karaokemaskiner, videospillekonsoller og lyd- og videoudstyr til hjemmebiografer.</t>
  </si>
  <si>
    <t>Fremstilling af fjernbetjeninger til elektronik henvises til 26.30.00.</t>
  </si>
  <si>
    <t>26.51.00</t>
  </si>
  <si>
    <t>Fremstilling af instrumenter og udstyr til måling, afprøvning og navigation</t>
  </si>
  <si>
    <t>Branchen omfatter fremstilling af udstyr til måling, afprøvning og navigation, fx tællere, radarudstyr og løgnedetektormaskiner samt meteorologiske instrumenter.</t>
  </si>
  <si>
    <t>Fremstilling af vejningsmaskiner (bortset fra følsomme laboratorievægte), nivelleringsinstrumenter, målebånd mv. henvises til 28.29.00.</t>
  </si>
  <si>
    <t>26.52.00</t>
  </si>
  <si>
    <t>Fremstilling af ure</t>
  </si>
  <si>
    <t>Branchen omfatter fremstilling af alle typer ure, fx parkometre, tidsregistreringsudstyr og komponenter til ure, bortset fra smart-watches, som henvises til 26.30.00.</t>
  </si>
  <si>
    <t>26.60.10</t>
  </si>
  <si>
    <t>Fremstilling af høreapparater og dele hertil</t>
  </si>
  <si>
    <t>Branchen omfatter fremstilling af høreapparater og dele hertil.</t>
  </si>
  <si>
    <t>26.60.90</t>
  </si>
  <si>
    <t>Fremstilling af bestrålingsudstyr og elektromedicinsk og elektroterapeutisk udstyr</t>
  </si>
  <si>
    <t>Branchen omfatter fremstilling af bestrålingsudstyr samt elektromedicinsk og elektroterapeutisk udstyr, fx udstyr til MR-billeddannelse, pacemakere, CT og Pet scannere samt medicinsk laserudstyr.</t>
  </si>
  <si>
    <t>26.70.00</t>
  </si>
  <si>
    <t>Fremstilling af optiske instrumenter, magnetiske og optiske medier og fotografisk udstyr</t>
  </si>
  <si>
    <t>Branchen omfatter fremstilling af optiske instrumenter, magnetiske og optiske medier samt fotografisk udstyr, fx optiske spejle, linser, optiske mikroskoper, kikkerter og tomme optiske medier.</t>
  </si>
  <si>
    <t>Fremstilling af videokameraer til private henvises til 26.40.00.</t>
  </si>
  <si>
    <t>27.11.00</t>
  </si>
  <si>
    <t>Fremstilling af elektriske motorer, generatorer og transformatorer</t>
  </si>
  <si>
    <t>Branchen omfatter fremstilling af alle typer af elektriske motorer, generatorer og transformerer, undtagen startmotorer til forbrændingsmotorer, der henvises til 29.31.00.</t>
  </si>
  <si>
    <t>27.12.00</t>
  </si>
  <si>
    <t>Fremstilling af elektriske fordelings- og kontrolapparater</t>
  </si>
  <si>
    <t>Branchen omfatter fremstilling af elektriske fordelings- og kontrolapparater, fx fremstilling af strømafbrydere, elektriske relæer og elektriske sikringer.</t>
  </si>
  <si>
    <t>Fremstilling af afbrydere til elektriske kredsløb, såsom trykknapper og hurtigafbrydere, henvises til 27.33.00.</t>
  </si>
  <si>
    <t>27.20.00</t>
  </si>
  <si>
    <t>Fremstilling af batterier og akkumulatorer</t>
  </si>
  <si>
    <t>Branchen omfatter fremstilling af alle typer af batterier og akkumulatorer, fx vådcellebatterier, tørbatterier, batterier til køretøjer og cykler samt fremstilling af lagringssystemer til batterier.</t>
  </si>
  <si>
    <t>27.31.00</t>
  </si>
  <si>
    <t>Fremstilling af lyslederkabler</t>
  </si>
  <si>
    <t>Branchen omfatter fremstilling af lyslederkabler til datatransmission eller direkte transmission af billeder.</t>
  </si>
  <si>
    <t>27.32.00</t>
  </si>
  <si>
    <t>Fremstilling af andre elektroniske og elektriske ledninger og kabler</t>
  </si>
  <si>
    <t>Branchen omfatter fremstilling af isolerede ledninger og kabler af stål, kobber eller aluminium.</t>
  </si>
  <si>
    <t>Fremstilling af elledninger med isolering og stik henvises til 27.90.00.</t>
  </si>
  <si>
    <t>27.33.00</t>
  </si>
  <si>
    <t>Fremstilling af tilbehør til ledninger og kabler</t>
  </si>
  <si>
    <t>Branchen omfatter fremstilling af tilbehør til ledninger og kabler, fx HFI-relæer, lampefatninger, stikpropper, stik, fatninger og forsyningsmaster.</t>
  </si>
  <si>
    <t>Fremstilling af stik, fatninger og afbrydere som elektroniske komponenter henvises til 26.11.00.</t>
  </si>
  <si>
    <t>27.40.00</t>
  </si>
  <si>
    <t>Fremstilling af belysningsartikler</t>
  </si>
  <si>
    <t>Branchen omfatter fremstilling af belysningsartikler, fx lofts- eller vægbelysning, bord- eller standerlamper samt belysningsartikler, såsom elektriske pejse, lommelygter og belysningsartikler til transportudstyr.</t>
  </si>
  <si>
    <t>27.51.00</t>
  </si>
  <si>
    <t>Fremstilling af elektriske husholdningsapparater</t>
  </si>
  <si>
    <t>Branchen omfatter elektriske husholdningsapparater, fx køleskabe, støvsugere, opvaskemaskiner, vandvarmere, dåseåbnere og føntørrere.</t>
  </si>
  <si>
    <t>27.52.00</t>
  </si>
  <si>
    <t>Fremstilling af ikke-elektriske husholdningsapparater</t>
  </si>
  <si>
    <t>Branchen omfatter fremstilling af ikke-elektriske husholdningsapparater, fx ikke-elektriske varmeovne, kogeapparater og grill.</t>
  </si>
  <si>
    <t>27.90.00</t>
  </si>
  <si>
    <t>Fremstilling af andet elektrisk udstyr</t>
  </si>
  <si>
    <t>Branchen omfatter fremstilling af andet elektrisk udstyr, fx batteriopladere, ringklokker, sirener, elektriske skilte, solarier og maskiner til ultralydsrensning og opladere til motorkøretøjer.</t>
  </si>
  <si>
    <t>28.11.00</t>
  </si>
  <si>
    <t>Fremstilling af motorer og turbiner, undtagen motorer til flyvemaskiner, motorkøretøjer og knallerter</t>
  </si>
  <si>
    <t>Branchen omfatter fremstilling af motorer og turbiner, fx skibsmotorer, jernbanemotorer og forskellige former for turbiner, undtagen motorer til flyvemaskiner, motorkøretøjer og knallerter. Fremstilling af vindmøller med evt. tilhørende opførelse er også omfattet. Fabrikseftersyn af skibs- og bådmotorer er desuden også omfattet.</t>
  </si>
  <si>
    <t>Reparation og vedligeholdelse af maskin- og motordele på vindmøller henvises til 33.12.00. Installation af turbiner henvises til 33.20.00. Opførelse af solcelle- og vindmølleparker samt enkeltstående vindmøller, herunder reparation af disse, henvises til 42.22.00.</t>
  </si>
  <si>
    <t>28.12.00</t>
  </si>
  <si>
    <t>Fremstilling af hydraulisk udstyr</t>
  </si>
  <si>
    <t>Branchen omfatter fremstilling af hydraulisk udstyr, fx hydrauliske og pneumatiske pumper, motorer, systemer og transmissionsudstyr.</t>
  </si>
  <si>
    <t>28.13.00</t>
  </si>
  <si>
    <t>Fremstilling af andre pumper og kompressorer</t>
  </si>
  <si>
    <t>Branchen omfatter fremstilling af luft-eller vakuumpumper, pumper til væsker, brændstofpumper til motorkøretøjer mv.</t>
  </si>
  <si>
    <t>28.14.00</t>
  </si>
  <si>
    <t>Fremstilling af andre haner og ventiler</t>
  </si>
  <si>
    <t>Branchen omfatter fremstilling af andre haner og ventiler, fx til sanitetsarmaturer og centralvarmeradiatorer.</t>
  </si>
  <si>
    <t>Fremstilling af ventiler til uhærdet vulkaniseret gummi, glas eller af keramiske materialer henvises til 22.12.00, 23.15.00 eller 23.44.00.</t>
  </si>
  <si>
    <t>28.15.00</t>
  </si>
  <si>
    <t>Fremstilling af lejer, tandhjul, tandhjulsudvekslinger og drivelementer</t>
  </si>
  <si>
    <t>Branchen omfatter fremstilling af kugle- og rullelejer, gear, gearkasser og koblinger samt mekanisk krafttransmissionsudstyr.</t>
  </si>
  <si>
    <t>Fremstilling af koblinger til motorkøretøjer henvises til 29.31.00.</t>
  </si>
  <si>
    <t>28.21.00</t>
  </si>
  <si>
    <t>Fremstilling af ovne, ildsteder og fyringsaggregater til boligopvarmning</t>
  </si>
  <si>
    <t>Branchen omfatter fremstilling af elektriske og andre industri- og laboratorieovne samt køle- og ventilationsudstyr til husholdninger, herunder ikke-reversible varmepumper. Fremstilling af mekaniske stokere, kaminer og askeudledere er også omfattet.</t>
  </si>
  <si>
    <t>Fremstilling af elovne til husholdningsbrug henvises til 27.51.00.</t>
  </si>
  <si>
    <t>28.22.00</t>
  </si>
  <si>
    <t>Fremstilling af løfte- og håndteringsudstyr</t>
  </si>
  <si>
    <t>Branchen omfatter fremstilling af løfte-og håndteringsudstyr, fx taljer, hejseværk, kraner, trucks, transportbånd, tovbaner, elevatorer og rulletrapper.</t>
  </si>
  <si>
    <t>Fremstilling af mekaniske skovle og udgravnings- eller læssemaskiner henvises til 28.92.00.</t>
  </si>
  <si>
    <t>28.23.00</t>
  </si>
  <si>
    <t>Fremstilling af kontormaskiner og -udstyr, undtagen computere og ydre enheder</t>
  </si>
  <si>
    <t>Branchen omfatter fremstilling af kontormaskiner og -apparater, fx kasseapparater, lommeregnere, blyantspidsemaskiner, tapedispensere, tavler, whiteboards og diktermaskiner.</t>
  </si>
  <si>
    <t>Fremstilling af blyantspidsere henvises til 25.61.00.</t>
  </si>
  <si>
    <t>28.24.00</t>
  </si>
  <si>
    <t>Fremstilling af motordrevet håndværktøj</t>
  </si>
  <si>
    <t>Branchen omfatter fremstilling af motordrevet håndværktøj, fx kædesave, slibemaskiner, sakse, klippeværktøj og boremaskiner.</t>
  </si>
  <si>
    <t>28.25.00</t>
  </si>
  <si>
    <t>Fremstilling af klimaanlæg, ikke til husholdningsbrug</t>
  </si>
  <si>
    <t>Branchen omfatter fremstilling af klimaanlæg, fx køle- og fryseudstyr samt airconditionanlæg, der ikke er til husholdningsbrug eller motorkøretøjer.</t>
  </si>
  <si>
    <t>28.29.00</t>
  </si>
  <si>
    <t>Fremstilling af andre maskiner til generelle formål i.a.n.</t>
  </si>
  <si>
    <t>Branchen omfatter fremstilling af en bred vifte af maskiner, fx vægte, målebånd og ikke-optiske præcisionsværktøjer (til maskinarbejde), emballeringsmaskiner, salgsautomater, valsemaskiner (dog ikke til glas eller metal) og destillationsanlæg.</t>
  </si>
  <si>
    <t>28.30.00</t>
  </si>
  <si>
    <t>Fremstilling af landbrugs- og skovbrugsmaskiner</t>
  </si>
  <si>
    <t>Branchen omfatter fremstilling af maskiner til land- og skovbrug, fx traktorer, plove, gødningsspredere, malkemaskiner, tærskeværk og maskiner til fjerkræavl, biavl og sortering af æg.</t>
  </si>
  <si>
    <t>28.41.00</t>
  </si>
  <si>
    <t>Fremstilling af metalforarbejdende maskiner og maskinværktøj til bearbejdning af metal</t>
  </si>
  <si>
    <t>Branchen omfatter fremstilling af maskiner og maskinværktøj til bearbejdning af metal, fx til slibning, formaling, polering, stansning og presning.</t>
  </si>
  <si>
    <t>28.42.00</t>
  </si>
  <si>
    <t>Fremstilling af andet maskinværktøj</t>
  </si>
  <si>
    <t>Branchen omfatter fremstilling af andet maskinværktøj, fx maskinværktøj til bearbejdning af træ, kork, ben, sten mv., inkl. delehoveder og anden hjælpeindretning til maskinværktøj, samt fremstilling af stationære maskiner til fx sømning, hæftning og limning.</t>
  </si>
  <si>
    <t>28.91.00</t>
  </si>
  <si>
    <t>Fremstilling af maskiner til metallurgi</t>
  </si>
  <si>
    <t>Branchen omfatter fremstilling af maskiner og udstyr til metallurgi og til håndtering af varme metaller, samt metalvalseanlæg.</t>
  </si>
  <si>
    <t>28.92.00</t>
  </si>
  <si>
    <t>Fremstilling af maskiner til råstofindvindingsindustrien samt bygge- og anlæg</t>
  </si>
  <si>
    <t>Branchen omfatter fremstilling af maskiner, der bruges i råstofindustrien eller inden for bygge- og anlægssektoren, fx elevatorer og transportbånd til varer og materialer under jorden, bulldozere, piloteringsmaskiner og tipvogne.</t>
  </si>
  <si>
    <t>28.93.00</t>
  </si>
  <si>
    <t>Fremstilling af maskiner til føde-, drikke- og tobaksvareindustrien</t>
  </si>
  <si>
    <t>Branchen omfatter fremstilling af maskiner til brug i føde-, drikke- og tobaksvareindustrien, fx maskiner til mejeribranchen eller til fremstilling af mel, ost eller brød.</t>
  </si>
  <si>
    <t>28.94.00</t>
  </si>
  <si>
    <t>Fremstilling af maskiner til produktion af tekstiler, beklædningsartikler og læder</t>
  </si>
  <si>
    <t>Branchen omfatter fremstilling af maskiner til forabejdning og fremstilling af tekstiler, beklædningsartikler og læder, fx spindemaskiner, strikkemaskiner, vævemaskiner og tekstiltryk.</t>
  </si>
  <si>
    <t>28.95.00</t>
  </si>
  <si>
    <t>Fremstilling af maskiner til produktion af papir og pap</t>
  </si>
  <si>
    <t>Branchen omfatter fremstilling af maskiner til fremstilling af papir og pap, fx maskiner til fremstilling af papirmasse.</t>
  </si>
  <si>
    <t>28.96.00</t>
  </si>
  <si>
    <t>Fremstilling af maskiner til produktion af plast og gummi</t>
  </si>
  <si>
    <t>Branchen omfatter fremstilling af maskiner til produktion og bearbejdning af blød gummi eller plast og maskiner til produktion af specielle gummi- eller plastprodukter.</t>
  </si>
  <si>
    <t>28.97.00</t>
  </si>
  <si>
    <t>Fremstilling af maskiner til additiv fremstilling</t>
  </si>
  <si>
    <t>Branchen omfatter fremstilling af maskiner til additiv fremstilling, fx maskiner, der kan 3D-printe med metal, plast og gips.</t>
  </si>
  <si>
    <t>28.99.00</t>
  </si>
  <si>
    <t>Fremstilling af andre maskiner til specielle formål i.a.n.</t>
  </si>
  <si>
    <t>Branchen omfatter fremstilling af øvrige maskiner til specielle formål, fx maskiner til produktion af fliser, støbeforme, industrirobotter, centralsmøresystemer, kegleopsættere til bowlingbaner, karruseller og gynger samt affaldskomprimeringsmaskiner.</t>
  </si>
  <si>
    <t>29.10.00</t>
  </si>
  <si>
    <t>Fremstilling af motorkøretøjer</t>
  </si>
  <si>
    <t>Branchen omfatter fremstilling af motorkøretøjer, fx personbiler, racerbiler, busser, snescootere og fejemaskiner. Ombygning på fabrik af motorer til motorkøretøjer er også omfattet.</t>
  </si>
  <si>
    <t>Fremstilling af elektriske dele til motorkøretøjer henvises til 29.31.00.</t>
  </si>
  <si>
    <t>29.20.00</t>
  </si>
  <si>
    <t>Fremstilling af karosserier til motorkøretøjer; fremstilling af påhængsvogne og sættevogne</t>
  </si>
  <si>
    <t>Branchen omfatter fremstilling af karosserier til motorkøretøjer samt fremstilling af påhængsvogne og sættevogne, fx campingvogne, tankvogne, brandbiler og bogbusser.</t>
  </si>
  <si>
    <t>Fremstilling af påhængsvogne og sættevogne specialdesignet til brug i landbruget henvises til 28.30.00.</t>
  </si>
  <si>
    <t>29.31.00</t>
  </si>
  <si>
    <t>Fremstilling af elektrisk og elektronisk udstyr til motorkøretøjer</t>
  </si>
  <si>
    <t>Branchen omfatter fremstilling af elektrisk udstyr til motorkøretøjer, fx startmotorer, generatorer og tændrør, samt fremstilling af moduler til vekselrettere og brændselsceller til biler.</t>
  </si>
  <si>
    <t>Fremstilling af belysningsartikler, fx lygter, til motorkøretøjer henvises til 27.40.00.</t>
  </si>
  <si>
    <t>29.32.00</t>
  </si>
  <si>
    <t>Fremstilling af andre dele og tilbehør til motorkøretøjer</t>
  </si>
  <si>
    <t>Branchen omfatter fremstilling af dele og tilbehør til motorkøretøjer og karosserier, fx bremser, airbags, bakspejle, bilsæder og airconditionanlæg.</t>
  </si>
  <si>
    <t>30.11.00</t>
  </si>
  <si>
    <t>Bygning af civile skibe og flydende materiel</t>
  </si>
  <si>
    <t>Branchen omfatter bygning af skibe, fx færger og fragt- og tankskibe. Branchen omfatter også fremstilling af flydende materiel som boreplatforme, redningsflåder og pramme.</t>
  </si>
  <si>
    <t>Både og skibe til sport og lystsejlads henvises til branche 30.12.00.</t>
  </si>
  <si>
    <t>30.12.00</t>
  </si>
  <si>
    <t>Bygning af både til fritid og sport</t>
  </si>
  <si>
    <t>Branchen omfatter bygning af både til fritid og sport, fx kanoer, sejlbåde og motorbåde, samt fremstilling af kundespecifikke vandfartøjer.</t>
  </si>
  <si>
    <t>Fremstilling af sejl og surfbrætter er er omfattet af 32.30.00.</t>
  </si>
  <si>
    <t>30.13.00</t>
  </si>
  <si>
    <t>Bygning af militærfartøjer</t>
  </si>
  <si>
    <t>Branchen omfatter bygning af militærfartøjer, fx hangarskibe, undervandsbåde og landgangsfartøjer. Fabriksombygning af militærskibe, -fartøjer og flydende materiel er også omfattet.</t>
  </si>
  <si>
    <t>30.20.00</t>
  </si>
  <si>
    <t>Fremstilling af lokomotiver og andet rullende materiel til jernbaner og sporveje</t>
  </si>
  <si>
    <t>Branchen omfatter fremstilling af lokomotiver og andet rullende materiel til jernbaner og sporveje, fx passagervogne, tankvogne og specialdele til lokomotiver, samt fremstilling af mekanisk og elektromagnetisk signal-, sikkerheds- og trafikkontroludstyr.</t>
  </si>
  <si>
    <t>Fremstilling af elektriske signalsystemer og sikkerheds- eller trafikkontroludstyr til jernbaner eller sporveje henvises til 27.90.00.</t>
  </si>
  <si>
    <t>30.31.00</t>
  </si>
  <si>
    <t>Fremstilling af civile luft- og rumfartøjer o.lign.</t>
  </si>
  <si>
    <t>Branchen omfatter fremstilling af civile luft- og rumfartøjer mv., fx passagerfly, svævefly, helikoptere, styrbare luftskibe og turbojet- og turbopropelmotorer. Fremstilling af missiler til brug i rummet, satellitter og planet-rumsonder samt ombygning af civile luftfartøjer eller flymotorer er også omfattet.</t>
  </si>
  <si>
    <t>Fremstilling af militære fly og rumfartøjer henvises til 30.32.00.</t>
  </si>
  <si>
    <t>30.32.00</t>
  </si>
  <si>
    <t>Fremstilling af militære luft- og rumfartøjer o.lign.</t>
  </si>
  <si>
    <t>Branchen omfatter fremstilling af militære luft-og rumfartøjer mv., fx fastvingefly og droner til militære formål. Branchen omfatter også fabrikseftersyn og ombygning af militære fly og rumfartøjer.</t>
  </si>
  <si>
    <t>Reparation og vedligeholdelse af maskiner til militære luft-og rumfartøjer henvises til 33.18.00.</t>
  </si>
  <si>
    <t>30.40.00</t>
  </si>
  <si>
    <t>Fremstilling af militære kampkøretøjer</t>
  </si>
  <si>
    <t>Branchen omfatter fremstilling af militære kampkøretøjer, fx tanks, pansrede amfibiemilitærkøretøjer, pansrede tårne, døre og dæksler samt fabrikseftersyn og genopbygning af militære kampkøretøjer.</t>
  </si>
  <si>
    <t>Reparation og vedligeholdelse af militære kampkøretøjer henvises til 33.18.00.</t>
  </si>
  <si>
    <t>30.91.00</t>
  </si>
  <si>
    <t>Fremstilling af motorcykler</t>
  </si>
  <si>
    <t>Branchen omfatter fremstilling af motorcykler, fx knallerter, motorer og sidevogne til motorcykler samt tilbehør dertil.</t>
  </si>
  <si>
    <t>Fremstilling af gummihjul af den slags, der anvendes til motorcykler, henvises til 22.11.00.</t>
  </si>
  <si>
    <t>30.92.00</t>
  </si>
  <si>
    <t>Fremstilling af cykler og kørestole</t>
  </si>
  <si>
    <t>Branchen omfatter fremstilling af cykler og kørestole, fx tandemmer, børnecykler, trehjulede cykler, elektriske skateboards og løbehjul, barnevogne og dele dertil.</t>
  </si>
  <si>
    <t>30.99.00</t>
  </si>
  <si>
    <t>Fremstilling af andre transportmidler i.a.n.</t>
  </si>
  <si>
    <t>Branchen omfatter fremstilling af andre transportmidler, herunder fremstilling af håndtrukne og dyretrukne køretøjer.</t>
  </si>
  <si>
    <t>Transportudstyr af den slags, der anvendes på fabrikker og i lagerbygninger, fx sækkevogne og trillebøre, henvises til 28.22.00.</t>
  </si>
  <si>
    <t>31.00.00</t>
  </si>
  <si>
    <t>Fremstilling af møbler</t>
  </si>
  <si>
    <t>Branchen omfatter fremstilling af møbler, fx kontormøbler, laboratoriemøbler, senge, sofaer, havestole og madrasser samt sengebunde. Fremstilling af cateringvogne og walk-in garderober samt færdigbehandling af møbler er også omfattet.</t>
  </si>
  <si>
    <t>32.11.00</t>
  </si>
  <si>
    <t>Prægning af mønter</t>
  </si>
  <si>
    <t>Branchen omfatter prægning af mønter, herunder mønter til brug som lovligt betalingsmiddel, også af ædle metaller.</t>
  </si>
  <si>
    <t>32.12.00</t>
  </si>
  <si>
    <t>Fremstilling af smykker og lignende varer</t>
  </si>
  <si>
    <t>Branchen omfatter fremstilling af smykker og lignende varer, fx af bearbejdede perler, guldsmedevarer i ædelmetal eller metaldublé, laboratorieartikler af ædelmetal, urremme, manchetter og cigaretetuier af ædelmetal. Gravering af personlige produkter i ædelmetal og uædelt metal er også omfattet.</t>
  </si>
  <si>
    <t>32.13.00</t>
  </si>
  <si>
    <t>Fremstilling af bijouteri og lignende varer</t>
  </si>
  <si>
    <t>Branchen omfatter fremstilling af ringe, halskæder, armbånd, urremme mv. af uædle metaller og kunstige sten.</t>
  </si>
  <si>
    <t>32.20.00</t>
  </si>
  <si>
    <t>Fremstilling af musikinstrumenter</t>
  </si>
  <si>
    <t>Branchen omfatter fremstilling af musikinstrumenter, fx strenge-, blæse- og slagtøjsinstrumenter. Musikinstrumenter, hvis lyd frembringes elektronisk, er også omfattet, ligesom fremstilling af dele og tilbehør til instrumenter, fx metronomer og stemmegafler samt fløjter, signalhorn og andre signalblæseinstrumenter er omfattet.</t>
  </si>
  <si>
    <t>32.30.00</t>
  </si>
  <si>
    <t>Fremstilling af sportsudstyr</t>
  </si>
  <si>
    <t>Branchen omfatter fremstilling af sportsudstyr, fx bolde af forskellig hårdhed, ketsjere, ski, lokkefugle og lignende rekvisitter til jagt og skydning, bassiner til svømme- eller soppebassiner samt udstyr til motionscentre.</t>
  </si>
  <si>
    <t>32.40.00</t>
  </si>
  <si>
    <t>Fremstilling af spil og legetøj</t>
  </si>
  <si>
    <t>Branchen omfatter fremstilling af spil og legetøj, fx dukker, actionfigurer, legetøjsdyr, spil og spilleautomater, puslespil og droner til rekreative formål. Fremstilling af stoflegetøj er også omfattet.</t>
  </si>
  <si>
    <t>32.50.00</t>
  </si>
  <si>
    <t>Fremstilling af medicinske og dentale instrumenter samt udstyr hertil</t>
  </si>
  <si>
    <t>Branchen omfatter fremstilling af medicinske og dentale instrumenter samt udstyr hertil, fx tandfyldninger, dentalcement, operationsborde, tandlægestole, dentalinstrumenter, sprøjter, nåle, katetre, glasøjne og ortopædiske sko syet efter mål.</t>
  </si>
  <si>
    <t>32.91.00</t>
  </si>
  <si>
    <t>Fremstilling af koste og børster</t>
  </si>
  <si>
    <t>Branchen omfatter fremstilling af koste og børster, fx toiletbørster, fejekoste, malerpensler, mopper, sko- og tøjbørster.</t>
  </si>
  <si>
    <t>32.99.00</t>
  </si>
  <si>
    <t>Andre fremstillingsaktiviteter i.a.n.</t>
  </si>
  <si>
    <t>Branchen omfatter andre fremstillingsaktiviteter, fx af forskellige former for personligt sikkerhedsudstyr som fx skudsikre veste, samt fremstilling af globusser, paraplyer, knapper og tryklåse, elektroniske cigaretter og lightere samt artikler til personligt brug som fx falske skæg og øjenbryn. Udstopningsaktiviteter er også omfattet.</t>
  </si>
  <si>
    <t>Fremstilling af beskyttelsesbeklædning henvises til 14.23.00.</t>
  </si>
  <si>
    <t>33.11.00</t>
  </si>
  <si>
    <t>Reparation og vedligeholdelse af færdige metalprodukter</t>
  </si>
  <si>
    <t>Branchen omfatter reparation og vedligeholdelse af færdige metalprodukter, fx metaltanke, -reservoirer og -beholdere, kondensatorer, forvarmere, overhedere, dampsamlere, akkumulatorer, kernereaktorer og skydevåben samt våben til sports- og fritidsbrug.</t>
  </si>
  <si>
    <t>33.12.00</t>
  </si>
  <si>
    <t>Reparation og vedligeholdelse af maskiner</t>
  </si>
  <si>
    <t>Branchen omfatter reparation og vedligeholdelse af en bred vifte af maskiner og udstyr til erhvervsmæssig brug. Branchen omfatter også reparation og vedligeholdelse af lokomotiver, pumper, kompressorer og tilhørende udstyr.</t>
  </si>
  <si>
    <t>33.13.00</t>
  </si>
  <si>
    <t>Reparation og vedligeholdelse af elektronisk og optisk udstyr</t>
  </si>
  <si>
    <t>Branchen omfatter reparation og vedligeholdelse af elektronisk og optisk udstyr, fx udstyr til måling, instrumenter til flymotorer, meteorologiske instrumenter, pacemakere, høreapparater, bestrålingsapparatur, kikkerter og mikroskoper.</t>
  </si>
  <si>
    <t>33.14.00</t>
  </si>
  <si>
    <t>Reparation og vedligeholdelse af elektrisk udstyr</t>
  </si>
  <si>
    <t>Branchen omfatter reparation og vedligeholdelse af elektrisk udstyr, fx transformatorer, relæer, batterier og elektrisk belysningsudstyr. Reparation og vedligeholdelse af ladestationer til biler er også omfattet.</t>
  </si>
  <si>
    <t>33.15.00</t>
  </si>
  <si>
    <t>Reparation og vedligeholdelse af civile skibe og både</t>
  </si>
  <si>
    <t>Branchen omfatter reparation og vedligeholdelse af civile skibe og både, fx fritidsbåde, elektriske påhængsmotorer og flydende materiel.</t>
  </si>
  <si>
    <t>33.16.00</t>
  </si>
  <si>
    <t>Reparation og vedligeholdelse af civile luft- og rumfartøjer</t>
  </si>
  <si>
    <t>Branchen omfatter reparation og vedligeholdelse af civile luft- og rumfartøjer, fx civile fly og flymotorer.</t>
  </si>
  <si>
    <t>Fabriksgennemsyn og genopbygning af civile fly og flymotorer henvises til 30.31.00.</t>
  </si>
  <si>
    <t>33.17.00</t>
  </si>
  <si>
    <t>Reparation og vedligeholdelse af andre civile transportmidler</t>
  </si>
  <si>
    <t>Branchen omfatter reparation og vedligeholdelse af andre civile transportmidler, fx lokomotiver, ombygning af jernbanevogne, dyretrukne vogne eller hånddrevne køretøjer. Reparation og vedligeholdelse af køretøjer til handicappede og indkøbsvogne er også omfattet.</t>
  </si>
  <si>
    <t>Reparation og vedligeholdelse af lokomotiver henvises til 33.12.00.</t>
  </si>
  <si>
    <t>33.18.00</t>
  </si>
  <si>
    <t>Reparation og vedligeholdelse af militære kampkøretøjer, skibe, både og luft- og rumfartøjer</t>
  </si>
  <si>
    <t>Branchen omfatter reparation og vedligeholdelse af militære kampkøretøjer, skibe, både og luft- og rumfartøjer.</t>
  </si>
  <si>
    <t>33.19.00</t>
  </si>
  <si>
    <t>Reparation og vedligeholdelse af andet udstyr</t>
  </si>
  <si>
    <t>Branchen omfatter reparation og vedligeholdelse af andet udstyr, der ikke er nævnt i 33.11-33.18, fx fiskenet, tovværk, spilleautomater og hospitalssenge. Restaurering af orgler og andre historiske musikinstrumenter er også omfattet.</t>
  </si>
  <si>
    <t>33.20.00</t>
  </si>
  <si>
    <t>Installation af industrimaskiner og -udstyr</t>
  </si>
  <si>
    <t>Branchen omfatter installation af industrimaskiner, -udstyr og turbiner, fx kommunikationsudstyr, udstyr til møllebyggeri og bowlingbaner, lagermaskiner og -udstyr samt reoler og fritstående ladestationer.</t>
  </si>
  <si>
    <t>35.11.00</t>
  </si>
  <si>
    <t>Produktion af elektricitet fra ikke-vedvarende energikilder</t>
  </si>
  <si>
    <t>Branchen omfatter drift af produktionsanlæg, der producerer elektricitet fra ikke-vedvarende energikilder, fx naturgas og kul, samt fra udledningsfrie, ikke-vedvarende kilder, fx kernekraft.</t>
  </si>
  <si>
    <t>35.12.00</t>
  </si>
  <si>
    <t>Produktion af elektricitet fra vedvarende energikilder</t>
  </si>
  <si>
    <t>Branchen omfatter drift af produktionsanlæg, der producerer elektricitet fra vedvarende energikilder, fx vind- og vandkraft, solenergi og biobrændsler.</t>
  </si>
  <si>
    <t>35.13.00</t>
  </si>
  <si>
    <t>Transmission af elektricitet</t>
  </si>
  <si>
    <t>Branchen omfatter drift af højspændingssystemer, der overfører elektricitet fra produktionsanlæg til distributionssystemer.</t>
  </si>
  <si>
    <t>35.14.00</t>
  </si>
  <si>
    <t>Distribution af elektricitet</t>
  </si>
  <si>
    <t>Branchen omfatter drift eller leasing af distributionssystemer (ledninger, poler, målere og ledningsføring), som overfører elektricitet til slutbrugeren.</t>
  </si>
  <si>
    <t>35.15.10</t>
  </si>
  <si>
    <t>Handel med elektricitet via ladestationer o. lign.</t>
  </si>
  <si>
    <t>Branchen omfatter handel med elektricitet, for egen regning, via ladestationer eller andre ladefaciliteter, fx til bærbare computere, mobiltelefoner eller biler.</t>
  </si>
  <si>
    <t>35.15.90</t>
  </si>
  <si>
    <t>Anden handel med elektricitet</t>
  </si>
  <si>
    <t>Branchen omfatter anden handel med elektricitet, herunder drift af elektricitets- og transportkapacitetsudvekslinger for elektrisk strøm.</t>
  </si>
  <si>
    <t>35.16.00</t>
  </si>
  <si>
    <t>Lagring af elektricitet</t>
  </si>
  <si>
    <t>Branchen omfatter omformning og lagring af elektrisk energi, fx drift af pumpekraftværker eller batterilagringsanlæg. Distribution af lagret elektricitet til ledningsnet er også omfattet.</t>
  </si>
  <si>
    <t>35.21.00</t>
  </si>
  <si>
    <t>Produktion af gas</t>
  </si>
  <si>
    <t>Branchen omfatter fremstilling af gas ved karbonisering af kul eller af biprodukter fra landbrug eller affald. Produktion og rensning af biogas og biobrændsler i forbindelse med gas- og energiforsyning er også omfattet.</t>
  </si>
  <si>
    <t>35.22.00</t>
  </si>
  <si>
    <t>Distribution af gas</t>
  </si>
  <si>
    <t>Branchen omfatter distribution af alle typer gas gennem gasdistributionssystemer samt udlejning og leasing af gasdistributionssystemer eller forsyningsnetværk for gas.</t>
  </si>
  <si>
    <t>Langdistancetransport af gasser henvises til 49.50.00.</t>
  </si>
  <si>
    <t>35.23.00</t>
  </si>
  <si>
    <t>Handel med gas gennem rørledninger</t>
  </si>
  <si>
    <t>Branchen omfatter handel med gas, for egen regning, til slutbrugeren, gennem gasdistributionssystemer.</t>
  </si>
  <si>
    <t>Handel med gas på andres regning gennem gasdistributionssystemer henvises til 35.40.00.</t>
  </si>
  <si>
    <t>35.24.00</t>
  </si>
  <si>
    <t>Oplagring af gas i forbindelse med drift af forsyningsnet</t>
  </si>
  <si>
    <t>Branchen omfatter lagring af gas, fx luftformige brændstoffer og hydrogengas, som en del af forsyningsnettet.</t>
  </si>
  <si>
    <t>35.30.00</t>
  </si>
  <si>
    <t>Fjernvarmeforsyning</t>
  </si>
  <si>
    <t>Branchen omfatter produktion, opsamling og distribution af vand, uanset om det er damp, koldt, varmt eller frossent, der bruges til opvarmning eller afkøling. Lagring af termisk energi er også omfattet.</t>
  </si>
  <si>
    <t>35.40.00</t>
  </si>
  <si>
    <t>Mægler- og agentaktiviteter i forbindelse med forsyning af elektricitet og naturgas</t>
  </si>
  <si>
    <t>Branchen omfatter leverandør- og agentaktiviteter i forbindelse med salg af el, gas og varme via distributionssystemer, der drives af andre.</t>
  </si>
  <si>
    <t>36.00.00</t>
  </si>
  <si>
    <t>Vandforsyning</t>
  </si>
  <si>
    <t>Branchen omfatter alle aktiviteter i forbindelse med opsamling, indvinding, behandling, afsaltning og distribution af vand til erhvervs- og husholdningsbrug. Branchen omfatter også udlejning og leasing af vandforsyningsnettet.</t>
  </si>
  <si>
    <t>Transport af vand gennem rørledninger henvises til 49.50.00.</t>
  </si>
  <si>
    <t>37.00.00</t>
  </si>
  <si>
    <t>Opsamling og behandling af spildevand</t>
  </si>
  <si>
    <t>Branchen omfatter drift af kloakeringssystemer og spildevandsanlæg til opsamling, rensning og bortskaffelse af spildevand. Branchen omfatter også frysetørring af spildevandsslam, tømning og rensning af sivebrønde, septiktanke, vaske og gruber for spildevand samt servicering af kemiske toiletter.</t>
  </si>
  <si>
    <t>Opbygning eller reparation af kloaksystemer henvises til 42.21.00.</t>
  </si>
  <si>
    <t>38.11.00</t>
  </si>
  <si>
    <t>Indsamling af ikke-farligt affald</t>
  </si>
  <si>
    <t>Branchen omfatter indsamling af ikke-farligt fast affald (dvs. skrald), genvindeligt affald og materialer fra både husholdninger og virksomheder. Branchen omfatter også indsamling og fjernelse af nedbrudt materiale og industrielle affaldsprodukter samt drift af affaldsoverførselsanlæg til ikke-farligt affald.</t>
  </si>
  <si>
    <t>Indsamling af spildevand henvises til 37.00.00.</t>
  </si>
  <si>
    <t>38.12.00</t>
  </si>
  <si>
    <t>Indsamling af farligt affald</t>
  </si>
  <si>
    <t>Branchen omfatter indsamling af sundheds- og miljøskadelige stoffer uanset form, fx spildolie, biologisk farligt affald, udløbne lægemidler og brugte batterier. Branchen omfatter også drift af affaldsoverførselsanlæg til farligt affald.</t>
  </si>
  <si>
    <t>38.21.00</t>
  </si>
  <si>
    <t>Genindvinding af materialer</t>
  </si>
  <si>
    <t>Branchen omfatter behandling af metal og ikke-metalholdigt affald, herunder skrot og andre artikler, til sekundære råmaterialer, fx gummi, plast, glas, spildolie og tekstiler. Produktion af biogas fra affald, som ikke sker med henblik på gas- eller energiforsyning, er også omfattet.</t>
  </si>
  <si>
    <t>Omsmeltning af jernholdigt affald og skrot henvises til 24.10.00 og omsmeltning af plastik til produktion af granulater eller forbindelser henvises til 20.16.00.</t>
  </si>
  <si>
    <t>38.22.00</t>
  </si>
  <si>
    <t>Energiudnyttelse af affald</t>
  </si>
  <si>
    <t>Branchen omfatter forbehandling af affald til energiudnyttelse samt konvertering af affaldsmaterialer.</t>
  </si>
  <si>
    <t>38.23.00</t>
  </si>
  <si>
    <t>Anden nyttiggørelse af affald</t>
  </si>
  <si>
    <t>Branchen omfatter forberedelse af spildevandsslam til jordbehandling mhp. forbedring af landbrug eller til ingeniørmæssige formål inden for landskabsarkitektur.</t>
  </si>
  <si>
    <t>38.31.00</t>
  </si>
  <si>
    <t>Forbrænding uden energiudnyttelse</t>
  </si>
  <si>
    <t>Branchen omfatter forbrænding og varmebehandling af affald uden energiudnyttelse.</t>
  </si>
  <si>
    <t>Forbrænding af affald mhp. energiudnyttelse henvises til 38.22.00.</t>
  </si>
  <si>
    <t>38.32.00</t>
  </si>
  <si>
    <t>Deponering eller permanent oplagring</t>
  </si>
  <si>
    <t>Branchen omfatter deponering eller permanent oplagring af affald. Branchen omfatter også opbevaring af indsamlet kuldioxid (CO2).</t>
  </si>
  <si>
    <t>Opsamling af kuldioxid (CO2) henvises til 39.00.00.</t>
  </si>
  <si>
    <t>38.33.00</t>
  </si>
  <si>
    <t>Anden bortskaffelse af affald</t>
  </si>
  <si>
    <t>Branchen omfatter frigivelse af flydende affald i søer/hav eller andre vandområder samt injektion af pumpbart udsmidning i bl.a. brønde og andre naturforekommende depoter.</t>
  </si>
  <si>
    <t>39.00.00</t>
  </si>
  <si>
    <t>Rensning af jord og grundvand og anden dekontaminering</t>
  </si>
  <si>
    <t>Branchen omfatter forureningsbekæmpelse, fx dekontaminering af industrianlæg, bekæmpelse af kyst- og overfladeforurening samt bekæmpelse af asbest og blyholdig maling. Branchen omfatter også oprydning, inddæmning, bekæmpelse og overvågning af områder.</t>
  </si>
  <si>
    <t>Vandrensning i forbindelse med vandforsyning henvises til 36.00.00.</t>
  </si>
  <si>
    <t>41.00.00</t>
  </si>
  <si>
    <t>Opførelse af bygninger</t>
  </si>
  <si>
    <t>Branchen omfatter opførelse af alle typer bygninger samt komplet ombygning eller renovering af eksisterende bolig- og erhvervsbygninger.</t>
  </si>
  <si>
    <t>Gennemførelse af byggeprojekter henvises til 68.12.00.</t>
  </si>
  <si>
    <t>42.11.00</t>
  </si>
  <si>
    <t>Anlæg af veje og motorveje</t>
  </si>
  <si>
    <t>Branchen omfatter opførelse af gader, veje, start- og landingsbaner, vejbelægning samt anlæg af skovstier (ikke-asfalterede).</t>
  </si>
  <si>
    <t>42.12.00</t>
  </si>
  <si>
    <t>Anlæg af jernbaner og undergrundsbaner</t>
  </si>
  <si>
    <t>Branchen omfatter opførelse af jernbaner, undergrundsbaner og metroer samt opførelse af luftledninger og strømskinner til jernbaner.</t>
  </si>
  <si>
    <t>42.13.00</t>
  </si>
  <si>
    <t>Anlæg af broer og tunneller</t>
  </si>
  <si>
    <t>Branchen omfatter opførelse af broer, svævebaner og tunneller.</t>
  </si>
  <si>
    <t>42.21.00</t>
  </si>
  <si>
    <t>Anlæg af ledningsnet til væsker</t>
  </si>
  <si>
    <t>Branchen omfatter udførelse af anlægsarbejde i forbindelse med anlæg af vand- og rørledninger, reservoirer, ledningsnet, kloaksystemer og pumpestationer. Branchen omfatter også vandboring og geotermisk boring.</t>
  </si>
  <si>
    <t>Installation af vand- og spildevandsledninger i bygninger henvises til 43.22.00.</t>
  </si>
  <si>
    <t>42.22.00</t>
  </si>
  <si>
    <t>Anlæg af ledningsnet til elektricitet og telekommunikation</t>
  </si>
  <si>
    <t>Branchen omfatter anlægsarbejde ift. ledningsnet til strøm, kommunikation, elværker, solcelle- og vindmølleparker samt stationer til elforsyning, fx til køretøjer.</t>
  </si>
  <si>
    <t>Fremstilling af vindmøller med evt. tilhørende opførelse henvises til 28.11.00.</t>
  </si>
  <si>
    <t>42.91.00</t>
  </si>
  <si>
    <t>Anlæg af vandveje, havne, diger, dæmninger mv.</t>
  </si>
  <si>
    <t>Branchen omfatter anlæg og genopbygning af havnebassiner, floder, diger, dæmninger og lystbådehavne samt udgravning af vandveje.</t>
  </si>
  <si>
    <t>42.99.00</t>
  </si>
  <si>
    <t>Andre anlægsaktiviteter i.a.n.</t>
  </si>
  <si>
    <t>Branchen omfatter opførelse af industrianlæg (ikke bygninger), fx raffinaderier, kemiske fabrikker, kornopbevaringssystemer og udendørs sportsanlæg.</t>
  </si>
  <si>
    <t>Opførelse af bygninger, der anvendes til indendørs sport, henvises til 41.00.00 og installation af industrimaskiner og -udstyr henvises til 33.20.00.</t>
  </si>
  <si>
    <t>43.11.00</t>
  </si>
  <si>
    <t>Nedrivning</t>
  </si>
  <si>
    <t>Branchen omfatter nedrivning og demontering af bygninger og andre konstruktioner.</t>
  </si>
  <si>
    <t>43.12.00</t>
  </si>
  <si>
    <t>Forberedende byggepladsarbejder</t>
  </si>
  <si>
    <t>Branchen omfatter rydning af byggepladser og jordarbejde, fx udgravning og sprængning. Branchen omfatter også forberedende byggepladsarbejde i forbindelse med minedrift.</t>
  </si>
  <si>
    <t>43.13.00</t>
  </si>
  <si>
    <t>Funderingsundersøgelser</t>
  </si>
  <si>
    <t>Branchen omfatter funderingsundersøgelser, der sker i forbindelse med bygge- og anlægsarbejde, eller med geofysiske, geologiske eller lignende formål.</t>
  </si>
  <si>
    <t>43.21.00</t>
  </si>
  <si>
    <t>El-installation</t>
  </si>
  <si>
    <t>Branchen omfatter alle typer af el-installationer i bygninger, gadebelysning, trafiklys og solcelleanlæg på bygninger samt ladestandere til elektriske køretøjer, fx i private hjem.</t>
  </si>
  <si>
    <t>Opførelse af anlæg som fx stationer med ladere til elektriske køretøjer henvises til 42.22.00 og overvågning af elektroniske sikkerhedssystemer henvises til 80.09.00.</t>
  </si>
  <si>
    <t>43.22.00</t>
  </si>
  <si>
    <t>Installation af vvs-, varme- og klimaanlæg</t>
  </si>
  <si>
    <t>Branchen omfatter VVS- og blikkenslagerarbejde, herunder installation, reparation og vedligeholdelse af fx varme-, fyrings- og klimaanlæg samt solfangere til opvarmning. Branchen omfatter også installation, vedligeholdelse og reparation af distributionssystemer for medicinsk gas på hospitaler.</t>
  </si>
  <si>
    <t>Installation af elektriske gulvradiatorer henvises til 43.21.00.</t>
  </si>
  <si>
    <t>43.23.00</t>
  </si>
  <si>
    <t>Installation af isolering</t>
  </si>
  <si>
    <t>Branchen omfatter installation af alle typer isolering.</t>
  </si>
  <si>
    <t>Udvendig tagisolering og vandtætning af tage henvises til 43.41.00.</t>
  </si>
  <si>
    <t>43.24.00</t>
  </si>
  <si>
    <t>Andre bygningsinstallationsaktiviteter</t>
  </si>
  <si>
    <t>Branchen omfatter installation i bygninger, fx af rulletrapper, elevatorer, kørestolslifte, lynafledere, automatiske døre, skilte med og uden belysning samt installation af udstyr til bygningshåndværkeres personlige sikkerhed, fx livliner. Låsesmedes aktiviter er også omfattet.</t>
  </si>
  <si>
    <t>Installation af elektroniske sikkerhedssystemer, fx tyverialarmer, overvågningsanlæg og brandalarmer, uden senere overvågning og fjernovervågningsaktiviteter, henvises til 43.21.00.</t>
  </si>
  <si>
    <t>43.31.00</t>
  </si>
  <si>
    <t>Stukkatøraktiviteter</t>
  </si>
  <si>
    <t>Branchen omfatter stukkatørarbejde og opsætning af gipsvægge i bygninger og pudsning af lofter.</t>
  </si>
  <si>
    <t>43.32.00</t>
  </si>
  <si>
    <t>Tømrer- og bygningssnedkeraktiviteter</t>
  </si>
  <si>
    <t>Branchen omfatter tømrer- og snedkeraktiviteter i bygninger, fx montering af døre, vinduer og skabe i træ eller andre materialer.</t>
  </si>
  <si>
    <t>Montering af automatiske døre og svingdøre henvises til 43.24.00.</t>
  </si>
  <si>
    <t>43.33.00</t>
  </si>
  <si>
    <t>Udførelse af gulvbelægninger og vægbeklædning</t>
  </si>
  <si>
    <t>Branchen omfatter gulvbelægninger og vægbeklædninger uanset art samt montering af kakkelovne. Behandling af trægulvsbelægninger er også omfattet.</t>
  </si>
  <si>
    <t>Vægbeklædning af udvendige vægge henvises til 43.35.00.</t>
  </si>
  <si>
    <t>43.34.10</t>
  </si>
  <si>
    <t>Maleraktiviteter</t>
  </si>
  <si>
    <t>Branchen omfatter malerarbejde, som udføres indvendigt og udvendigt på bygninger, herunder maling af anlæg og overfaldebehandling af metal på bygninger og andre anlæg.</t>
  </si>
  <si>
    <t>43.34.20</t>
  </si>
  <si>
    <t>Glarmesteraktiviteter</t>
  </si>
  <si>
    <t>Branchen omfatter montering af glas, spejle mv. samt autoruder og drift af glarmesterforretninger med butikshandel.</t>
  </si>
  <si>
    <t>Montering af vinduer henvises til 43.32.00.</t>
  </si>
  <si>
    <t>43.35.00</t>
  </si>
  <si>
    <t>Anden bygningsfærdiggørelse</t>
  </si>
  <si>
    <t>Branchen omfatter montering af præfabrikerede metalplader mv., udsmykning på bygninger, beklædning af udvendige vægge, opførelse af skalmure og stålstrukturer samt anden bygningsfærdiggørelse.</t>
  </si>
  <si>
    <t>Indretningsaktiviteter henvises til 74.13.00 og damprensning, sandblæsning og lignende aktiviteter på bygningers ydre dele henvises til 81.22.90.</t>
  </si>
  <si>
    <t>43.41.00</t>
  </si>
  <si>
    <t>Tagdækningsaktiviteter</t>
  </si>
  <si>
    <t>Branchen omfatter tagkonstruktionsarbejde, fx montering af spær, isolering, vandtætning, ovenlys og sikkerhedsudstyr. Udvendig isolering af tage er også omfattet.</t>
  </si>
  <si>
    <t>Indvendig isolering af tage henvises til 43.23.00.</t>
  </si>
  <si>
    <t>43.42.00</t>
  </si>
  <si>
    <t>Andre specialiserede bygningsarbejder</t>
  </si>
  <si>
    <t>Branchen omfatter specialiserede byggearbejder, fx opførelse af fundamenter til bygninger, affugtning af bygninger samt opførelse af skorstene og industriovne.</t>
  </si>
  <si>
    <t>43.50.00</t>
  </si>
  <si>
    <t>Specialiserede anlægsaktiviteter</t>
  </si>
  <si>
    <t>Branchen omfatter specialiseret anlægsarbejde, fx stålelementer til anlægsarbejder, installation af autoværn og færdselsskilte mv. Vejmaling og anden markering er også omfattet.</t>
  </si>
  <si>
    <t>Overfladearbejde såsom vej- og brolægning, fx af asfalt, beton eller sten, henvises til 42.11.00.</t>
  </si>
  <si>
    <t>43.60.00</t>
  </si>
  <si>
    <t>Formidlingsaktiviteter i forbindelse med specialiserede bygge- og anlægsarbejder</t>
  </si>
  <si>
    <t>Branchen omfatter formidlingsaktiviteter i forbindelse med specialiserede bygge-og anlægsarbejder.</t>
  </si>
  <si>
    <t>43.91.00</t>
  </si>
  <si>
    <t>Murerarbejde</t>
  </si>
  <si>
    <t>Branchen omfatter murerarbejde, blokarbejde, stensætning mv.</t>
  </si>
  <si>
    <t>43.99.00</t>
  </si>
  <si>
    <t>Andre specialiserede byggeaktiviteter i.a.n.</t>
  </si>
  <si>
    <t>Branchen omfatter specialiseret byggearbejde, fx opstilling og nedtagning af stilladser, opførsel af sikkerhedsudstyr, reparation af strukturer i forstærket beton mv. Renovering, fornyelse, genopførelse og eftermontering af historiske og arkæologiske steder og bygninger er også omfattet.</t>
  </si>
  <si>
    <t>Udlejning af stilladser og arbejdsplatforme, uden opførelse og nedtagning, henvises til 77.32.00.</t>
  </si>
  <si>
    <t>46.11.00</t>
  </si>
  <si>
    <t>Agenturhandel med landbrugsråvarer, levende dyr, tekstilråvarer og halvfabrikata</t>
  </si>
  <si>
    <t>Branchen omfatter agenturhandel (på honorar eller kontraktbasis) med landbrugsråvarer, levende dyr, tekstilråvarer og halvfabrikata.</t>
  </si>
  <si>
    <t>Engroshandel med lignende varer for egen regning henvises til gruppe 46.2 og 46.3.</t>
  </si>
  <si>
    <t>46.12.00</t>
  </si>
  <si>
    <t>Agenturhandel med brændstoffer, malme, metaller og kemiske produkter til industrien</t>
  </si>
  <si>
    <t>Branchen omfatter agenturhandel (på honorar eller kontraktbasis) med brændstoffer, malme og kemiske produkter til industrien.</t>
  </si>
  <si>
    <t>Engroshandel for egen regning henvises til gruppe 46.2-46.9.</t>
  </si>
  <si>
    <t>46.13.00</t>
  </si>
  <si>
    <t>Agenturhandel med tømmer og andre byggematerialer</t>
  </si>
  <si>
    <t>Branchen omfatter agenturhandel (på honorar eller kontraktbasis) med tømmer og andre byggematerialer.</t>
  </si>
  <si>
    <t>46.14.00</t>
  </si>
  <si>
    <t>Agenturhandel med maskiner, teknisk udstyr, skibe og flyvemaskiner</t>
  </si>
  <si>
    <t>Branchen omfatter agenturhandel (på honorar eller kontraktbasis) med maskiner og teknisk udstyr, fx computere, samt skibe og flyvemaskiner.</t>
  </si>
  <si>
    <t>46.15.00</t>
  </si>
  <si>
    <t>Agenturhandel med møbler, husholdningsartikler og isenkram</t>
  </si>
  <si>
    <t>Branchen omfatter agenturhandel (på honorar eller kontraktbasis) med møbler, husholdningsartikler og isenkram.</t>
  </si>
  <si>
    <t>46.16.00</t>
  </si>
  <si>
    <t>Agenturhandel med tekstiler, beklædning, pelsværk, fodtøj og lædervarer</t>
  </si>
  <si>
    <t>Branchen omfatter agenturhandel (på honorar eller kontraktbasis) med tekstiler, beklædning, pelsværk, fodtøj og lædervarer.</t>
  </si>
  <si>
    <t>46.17.10</t>
  </si>
  <si>
    <t>Fiskeauktioner</t>
  </si>
  <si>
    <t>Branchen omfatter auktioner med fisk, der sælges for tredjepart.</t>
  </si>
  <si>
    <t>Engroshandel med fisk på egne vegne henvises til 46.38.00.</t>
  </si>
  <si>
    <t>46.17.90</t>
  </si>
  <si>
    <t>Anden agenturhandel med føde-, drikke- og tobaksvarer</t>
  </si>
  <si>
    <t>Branchen omfatter agenturhandel (på honorar eller kontraktbasis) med føde-, drikke- og tobaksvarer.</t>
  </si>
  <si>
    <t>46.18.10</t>
  </si>
  <si>
    <t>Agenturhandel med motorcykler, biler, busser og trailere mv.</t>
  </si>
  <si>
    <t>Branchen omfatter agenturhandel (på honorar eller kontraktbasis) med motorcykler, biler, busser, trailere mv.</t>
  </si>
  <si>
    <t>46.18.90</t>
  </si>
  <si>
    <t>Agenturhandel med specialiseret varesortiment, bortset fra køretøjer</t>
  </si>
  <si>
    <t>Branchen omfatter agenturhandel (på honorar eller kontraktbasis) med medicinalvarer, legetøj og sportsartikler samt fotografisk og optisk udstyr.</t>
  </si>
  <si>
    <t>46.19.00</t>
  </si>
  <si>
    <t>Agenturhandel med ikke-specialiseret varesortiment</t>
  </si>
  <si>
    <t>Branchen omfatter agenturhandel (på honorar eller kontraktbasis) med et blandet varesortiment, hvor ingen enkelt varegruppe udgør mere end 50 pct. af omsætningen.</t>
  </si>
  <si>
    <t>46.21.00</t>
  </si>
  <si>
    <t>Engroshandel med korn, uforarbejdet tobak, såsæd og foderstoffer</t>
  </si>
  <si>
    <t>Branchen omfatter engroshandel med landbrugsråvarer, der skal bearbejdes før brug eller som bruges til foder i landbruget.</t>
  </si>
  <si>
    <t>Engroshandel med gødningsstoffer henvises til 46.85.00.</t>
  </si>
  <si>
    <t>46.22.00</t>
  </si>
  <si>
    <t>Engroshandel med blomster og planter</t>
  </si>
  <si>
    <t>Branchen omfatter engroshandel med blomster, planter, blomsterløg og juletræer samt salg og vedligeholdelse af kontorbeplantning.</t>
  </si>
  <si>
    <t>46.23.00</t>
  </si>
  <si>
    <t>Engroshandel med levende dyr</t>
  </si>
  <si>
    <t>Branchen omfatter engroshandel med levende husdyr til landbruget og kæledyr til husholdninger.</t>
  </si>
  <si>
    <t>46.24.00</t>
  </si>
  <si>
    <t>Engroshandel med huder, skind og læder</t>
  </si>
  <si>
    <t>Branchen omfatter engroshandel med huder, skind, læder, råuld og kunstlæder.</t>
  </si>
  <si>
    <t>Pelsauktioner henvises til 46.11.00.</t>
  </si>
  <si>
    <t>46.31.00</t>
  </si>
  <si>
    <t>Engroshandel med frugt og grøntsager</t>
  </si>
  <si>
    <t>Branchen omfatter engroshandel med frisk frugt og grønt, herunder kartofler, samt tørret, konserveret og frossent frugt og grønt.</t>
  </si>
  <si>
    <t>Engroshandel med saft af frugt og grønt henvises til 46.34.10.</t>
  </si>
  <si>
    <t>46.32.10</t>
  </si>
  <si>
    <t>Engroshandel med kød og kødprodukter</t>
  </si>
  <si>
    <t>Branchen omfatter engroshandel med kød og kødprodukter fra både vildt og opdrættede dyr, herunder fjerkræ.</t>
  </si>
  <si>
    <t>Engroshandel med foder til husdyr henvises til 46.21.00 og engroshandel med foder til kæledyr henvises til 46.38.00.</t>
  </si>
  <si>
    <t>46.32.20</t>
  </si>
  <si>
    <t>Engroshandel med fisk og fiskeprodukter</t>
  </si>
  <si>
    <t>Branchen omfatter engroshandel med fisk og fiskeprodukter samt alger og tang.</t>
  </si>
  <si>
    <t>46.33.00</t>
  </si>
  <si>
    <t>Engroshandel med mejeriprodukter, æg samt spiselige olier og fedtstoffer</t>
  </si>
  <si>
    <t>Branchen omfatter engroshandel med mejeriprodukter, æg og ægprodukter samt spiselige olier og fedtstoffer.</t>
  </si>
  <si>
    <t>46.34.10</t>
  </si>
  <si>
    <t>Engroshandel med øl, mineralvand, frugt- og grøntsagssaft</t>
  </si>
  <si>
    <t>Branchen omfatter engroshandel med drikkevarer, herunder frugt- og grøntsagsjuice og øl.</t>
  </si>
  <si>
    <t>Engroshandel med vin og spiritus henvises til 46.34.20.</t>
  </si>
  <si>
    <t>46.34.20</t>
  </si>
  <si>
    <t>Engroshandel med vin og spiritus</t>
  </si>
  <si>
    <t>Branchen omfatter engroshandel med alkoholiske drikkevarer, herunder tapning på egne flasker (uden omdannelse).</t>
  </si>
  <si>
    <t>Engroshandel med øl henvises til 46.34.10.</t>
  </si>
  <si>
    <t>46.35.00</t>
  </si>
  <si>
    <t>Engroshandel med tobaksvarer</t>
  </si>
  <si>
    <t>Branchen omfatter engroshandel med tobaksvarer, som er klar til brug, samt udstyr hertil, inkl. e-cigaretter.</t>
  </si>
  <si>
    <t>Engroshandel med e-væske til e-cigaretter henvises til 46.85.00. Engroshandel med råtobak henvises til 46.21.00.</t>
  </si>
  <si>
    <t>46.36.00</t>
  </si>
  <si>
    <t>Engroshandel med sukker, chokolade og sukkervarer</t>
  </si>
  <si>
    <t>Branchen omfatter engroshandel med sukker og chokolade samt fabriksfremstillet brød, kager og kiks.</t>
  </si>
  <si>
    <t>46.37.00</t>
  </si>
  <si>
    <t>Engroshandel med kaffe, te, kakao og krydderier</t>
  </si>
  <si>
    <t>Branchen omfatter engroshandel med kaffe, te, kakao og krydderier.</t>
  </si>
  <si>
    <t>Forarbejdning af te og kaffe henvises til 10.83.00.</t>
  </si>
  <si>
    <t>46.38.00</t>
  </si>
  <si>
    <t>Engroshandel med andre fødevarer</t>
  </si>
  <si>
    <t>Branchen omfatter specialiseret engroshandel med andre fødevarer, som ikke allerede er klassificeret i undergrupperne 46.31-46.37, fx engroshandel med færdigretter, helsekostprodukter, kosttilskud, diætmad eller foder til kæledyr.</t>
  </si>
  <si>
    <t>46.39.00</t>
  </si>
  <si>
    <t>Ikke-specialiseret engroshandel med føde-, drikke- og tobaksvarer</t>
  </si>
  <si>
    <t>Branchen omfatter engroshandel med et bredt varesortiment, dvs. flere varegrupper indenfor føde-, drikke- og tobaksvarekategorierne, hvor én varegruppe ikke udgør hovedparten af omsætningen.</t>
  </si>
  <si>
    <t>46.41.00</t>
  </si>
  <si>
    <t>Engroshandel med tekstiler</t>
  </si>
  <si>
    <t>Branchen omfatter engroshandel med sytråd, garn, kjolestoffer, håndklæder, linned, dun og dyner.</t>
  </si>
  <si>
    <t>Engroshandel med soveposer eller gulvtæpper henvises til 46.49.10 og 46.47.00.</t>
  </si>
  <si>
    <t>46.42.10</t>
  </si>
  <si>
    <t>Engroshandel med beklædning</t>
  </si>
  <si>
    <t>Branchen omfatter engroshandel med tøj, inklusive sportstøj og arbejdstøj. Branchen omfatter også engroshandel med tilbehør, fx slips, handsker, hatte, pelsartikler og paraplyer.</t>
  </si>
  <si>
    <t>Engroshandel med fodtøj henvises til 46.42.20.</t>
  </si>
  <si>
    <t>46.42.20</t>
  </si>
  <si>
    <t>Engroshandel med fodtøj</t>
  </si>
  <si>
    <t>Branchen omfatter engroshandel med fodtøj i alle materialer.</t>
  </si>
  <si>
    <t>Engroshandel med særligt sportsfodtøj, der kun anvendes i forbindelse med en sport, henvises til 46.49.10.</t>
  </si>
  <si>
    <t>46.43.10</t>
  </si>
  <si>
    <t>Engroshandel med hvidevarer og elektriske husholdningsartikler</t>
  </si>
  <si>
    <t>Branchen omfatter engroshandel med hårde hvidevarer, fx køleskabe og vaskemaskiner samt elektriske husholdningsartikler.</t>
  </si>
  <si>
    <t>46.43.20</t>
  </si>
  <si>
    <t>Engroshandel med radio og tv, fotografiske og optiske artikler</t>
  </si>
  <si>
    <t>Branchen omfatter engroshandel med radio og tv samt fotografiske og optiske artikler, fx briller og mikroskoper.</t>
  </si>
  <si>
    <t>Engroshandel med korrigerende briller, kontaktlinser og solbriller henvises til 46.46.10.</t>
  </si>
  <si>
    <t>46.44.10</t>
  </si>
  <si>
    <t>Engroshandel med porcelæns- og glasvarer</t>
  </si>
  <si>
    <t>Branchen omfatter engroshandel med varer af porcelæn eller glas samt køkkengrej.</t>
  </si>
  <si>
    <t>46.44.20</t>
  </si>
  <si>
    <t>Engroshandel med rengøringsmidler</t>
  </si>
  <si>
    <t>Branchen omfatter engroshandel med rengøringsmidler, inkl. autoplejemidler.</t>
  </si>
  <si>
    <t>46.45.00</t>
  </si>
  <si>
    <t>Engroshandel med parfumerivarer og kosmetik</t>
  </si>
  <si>
    <t>Branchen omfatter engroshandel med kosmetik, parfume, solcreme, shampoo, badesalt, tandpasta mv.</t>
  </si>
  <si>
    <t>46.46.10</t>
  </si>
  <si>
    <t>Engroshandel med medicinalvarer og sygeplejeartikler</t>
  </si>
  <si>
    <t>Branchen omfatter engroshandel med ortopædiske-, sygepleje- og medicinske artikler samt antibiotika mv.</t>
  </si>
  <si>
    <t>Engroshandel med slankeprodukter og naturmedicin henvises til 46.38.00.</t>
  </si>
  <si>
    <t>46.46.20</t>
  </si>
  <si>
    <t>Engroshandel med læge- og hospitalsartikler</t>
  </si>
  <si>
    <t>Branchen omfatter engroshandel med inventar til hospitaler og tandlæger, fx røngtenapparater, operationsborde, senge, tandlægestole mv.</t>
  </si>
  <si>
    <t>46.47.00</t>
  </si>
  <si>
    <t>Engroshandel med møbler til bolig-, kontor- og butiksbrug, tæpper og belysningsartikler</t>
  </si>
  <si>
    <t>Branchen omfatter engroshandel med møbler, tæpper og belysningsartikler.</t>
  </si>
  <si>
    <t>Engroshandel med læge- og hospitalsudstyr henvises til 46.46.20.</t>
  </si>
  <si>
    <t>46.48.00</t>
  </si>
  <si>
    <t>Engroshandel med ure og smykker</t>
  </si>
  <si>
    <t>Branchen omfatter engroshandel med ure og smykker i alle materialer samt andre artikler i guld og sølv.</t>
  </si>
  <si>
    <t>46.49.10</t>
  </si>
  <si>
    <t>Engroshandel med cykler, sportsartikler og lystbåde</t>
  </si>
  <si>
    <t>Branchen omfatter engroshandel med udstyr til sports- og fritidsaktiviteter, herunder cykler, campingudstyr, segways, hoverboards mv. Branchen omfatter også engroshandel med fodboldstøvler, barnevogne, bæreseler, klapvogne og autostole til børn.</t>
  </si>
  <si>
    <t>46.49.20</t>
  </si>
  <si>
    <t>Engroshandel med bøger, papir og papirvarer</t>
  </si>
  <si>
    <t>Branchen omfatter engroshandel med kontorartikler, bøger, papir og papirvarer.</t>
  </si>
  <si>
    <t>46.49.30</t>
  </si>
  <si>
    <t>Engroshandel med kufferter og lædervarer</t>
  </si>
  <si>
    <t>Branchen omfatter engroshandel med kufferter og lædervarer.</t>
  </si>
  <si>
    <t>46.49.90</t>
  </si>
  <si>
    <t>Engroshandel med andre husholdningsartikler i.a.n.</t>
  </si>
  <si>
    <t>Branchen omfatter engroshandel med hobbyartikler, legetøj, musikinstrumenter, træ-, kurve- og korkvarer samt spil. Engroshandel med gryder, pander og bestik er også omfattet.</t>
  </si>
  <si>
    <t>46.50.00</t>
  </si>
  <si>
    <t>Engroshandel med informations- og kommunikationsudstyr</t>
  </si>
  <si>
    <t>Branchen omfatter engroshandel med informations- eller kommunikationsudstyr samt kontormaskiner og udstyr, fx computere, videospil på fysisk medier, microchips, medier til optagelse mv.</t>
  </si>
  <si>
    <t>46.61.00</t>
  </si>
  <si>
    <t>Engroshandel med landbrugsmaskiner, -udstyr og tilbehør hertil</t>
  </si>
  <si>
    <t>Branchen omfatter engroshandel med landbrugsmaskiner og udstyr hertil, fx pløjemaskiner, gødningsspredere, høstmaskiner, malkemaskiner, traktorer til land- og skovbrug, haveredskaber og plæneklippere.</t>
  </si>
  <si>
    <t>46.62.00</t>
  </si>
  <si>
    <t>Engroshandel med værktøjsmaskiner</t>
  </si>
  <si>
    <t>Branchen omfatter engroshandel med alle typer værkstøjsmakiner til alle typer materialer.</t>
  </si>
  <si>
    <t>46.63.00</t>
  </si>
  <si>
    <t>Engroshandel med maskiner til minedrift og bygge- og anlægsaktiviteter</t>
  </si>
  <si>
    <t>Branchen omfatter engroshandel med maskiner til minedrift og bygge- og anlægsaktiviteter.</t>
  </si>
  <si>
    <t>46.64.00</t>
  </si>
  <si>
    <t>Engroshandel med andre maskiner og andet udstyr</t>
  </si>
  <si>
    <t>Branchen omfatter engroshandel med specialiserede maskiner og udstyr, som ikke allerede er klassificeret i undergrupperne 46.61-46.63.</t>
  </si>
  <si>
    <t>46.71.00</t>
  </si>
  <si>
    <t>Engroshandel med motorkøretøjer</t>
  </si>
  <si>
    <t>Branchen omfatter engroshandel med nye og brugte motorkøretøjer, herunder ambulancer, anhængere og campingvogne.</t>
  </si>
  <si>
    <t>46.72.00</t>
  </si>
  <si>
    <t>Engroshandel med reservedele og tilbehør til motorkøretøjer</t>
  </si>
  <si>
    <t>Branchen omfatter engroshandel med reservedele og tilbehør til motorkøretøjer, fx batterier og dæk.</t>
  </si>
  <si>
    <t>46.73.00</t>
  </si>
  <si>
    <t>Engroshandel med motorcykler samt reservedele og tilbehør dertil</t>
  </si>
  <si>
    <t>Branchen omfatter engroshandel med både nye og brugte motorcykler og knallerter samt tilbehør hertil, fx motorcykelhjelme og reservedele.</t>
  </si>
  <si>
    <t>46.81.00</t>
  </si>
  <si>
    <t>Engroshandel med fast, flydende og luftformigt brændstof og lignende varer</t>
  </si>
  <si>
    <t>Branchen omfatter engroshandel med brændstoffer, herunder smørefedt, smøreolie, olie, trækul, brænde, rensebenzin, flaskegas, vaseline og raffinerede olieprodukter.</t>
  </si>
  <si>
    <t>46.82.00</t>
  </si>
  <si>
    <t>Engroshandel med metaller og metalmalme</t>
  </si>
  <si>
    <t>Branchen omfatter engroshandel med metaller og metalmalme samt guld og andre ædelmetaller. Engroshandel med jernholdige og ikke-jernholdige halvfabrikata i metal er også omfattet.</t>
  </si>
  <si>
    <t>Engroshandel med gammelt jern henvises til 46.87.00.</t>
  </si>
  <si>
    <t>46.83.00</t>
  </si>
  <si>
    <t>Engroshandel med træ og byggematerialer samt sanitetsartikler</t>
  </si>
  <si>
    <t>Branchen omfatter engroshandel med både råtræ og behandlet træ samt andre byggematerialer, fx sand, stilladser, sanitetsartikler, maling mv.</t>
  </si>
  <si>
    <t>46.84.00</t>
  </si>
  <si>
    <t>Engroshandel med isenkram, varmeanlæg og tilbehør</t>
  </si>
  <si>
    <t>Branchen omfatter engroshandel med en bred vifte af varer, der spænder fra vandvarmere og radiatorer til udstyr til sanitære installationer, håndværktøj mv.</t>
  </si>
  <si>
    <t>46.85.00</t>
  </si>
  <si>
    <t>Engroshandel med kemiske produkter</t>
  </si>
  <si>
    <t>Branchen omfatter engroshandel med kemiske produkter til industrien, fx kemisk lim, farvestifter, duft- og smagsstoffer, gødningsstoffer, brint mv. Engroshandel med e-væsker til elektroniske cigaretter er også omfattet.</t>
  </si>
  <si>
    <t>Engroshandel med elektroniske cigaretter (e-cigaretter) henvises til 46.35.00.</t>
  </si>
  <si>
    <t>46.86.00</t>
  </si>
  <si>
    <t>Engroshandel med andre råvarer og halvfabrikata</t>
  </si>
  <si>
    <t>Branchen omfatter engroshandel med andre råvarer og halvfabrikata, fx gummi, plast, papirmasse, emballageartikler og rå ædelsten.</t>
  </si>
  <si>
    <t>46.87.00</t>
  </si>
  <si>
    <t>Engroshandel med affaldsprodukter</t>
  </si>
  <si>
    <t>Branchen omfatter engroshandel med affaldsprodukter, herunder indsamling, sortering, demontering af materialer fra biler, computere og skærme til genbrug.</t>
  </si>
  <si>
    <t>46.89.00</t>
  </si>
  <si>
    <t>Anden specialiseret engroshandel i.a.n.</t>
  </si>
  <si>
    <t>Branchen omfatter specialiseret engroshandel med varer, som ikke er nævnt i andre undergrupper i 46.2-46.8.</t>
  </si>
  <si>
    <t>46.90.00</t>
  </si>
  <si>
    <t>Ikke-specialiseret engroshandel</t>
  </si>
  <si>
    <t>Branchen omfatter ikke-specialiseret engroshandel, hvilket vil sige handel med varer fra mindst fem forskellige grupper (omfattet af 4-cifrede koder i grupperne 46.2-46.8) og hvor ingen varegruppe er dominerende.</t>
  </si>
  <si>
    <t>47.11.10</t>
  </si>
  <si>
    <t>Detailhandel med kioskvarer</t>
  </si>
  <si>
    <t>Branchen omfatter detailhandel med et smalt udvalg af varer, 'kioskvarer', herunder få eller ingen friske fødevarer. Salget kan foregå på internettet (fx via sociale medier), på markeder og i fysiske butikker.</t>
  </si>
  <si>
    <t>47.11.20</t>
  </si>
  <si>
    <t>Detailhandel med dagligvarer i supermarkeder og købmandsbutikker</t>
  </si>
  <si>
    <t>Branchen omfatter detailhandel med et bredt sortiment af dagligvarer med hovedvægten på føde- og drikkevarer med henblik på at gøre det muligt for kunderne at købe alle dagligvarer ét sted. Salget kan foregå på internettet (fx via sociale medier), på markeder og i fysiske butikker.</t>
  </si>
  <si>
    <t>47.11.30</t>
  </si>
  <si>
    <t>Detailhandel med dagligvarer i discountsupermarkeder</t>
  </si>
  <si>
    <t>Branchen omfatter detailhandel med et begrænset udvalg af dagligvarer, med henblik at være billig. Salget kan foregå på internettet (fx via sociale medier), på markeder og i fysiske butikker.</t>
  </si>
  <si>
    <t>47.12.00</t>
  </si>
  <si>
    <t>Anden ikke-specialiseret detailhandel</t>
  </si>
  <si>
    <t>Branchen omfatter ikke-specialiseret detailhandel med et stort, bredt varesortiment, hvor hovedvægten ikke er på fødevarer, i et omfang svarende til stormagasiner og varehuse. Handlen omfatter mange forskellige varer, i mange forskellige varegrupper, fx tøj, møbler, apparater, hardware, kosmetik, smykker, legetøj, sportsartikler mv. hvor ingen varegruppe er dominerende. Salget kan foregå på internettet (fx via sociale medier) og i fysiske butikker.</t>
  </si>
  <si>
    <t>Mindre ikke-specialiseret detailhandel henvises til den branchekode, der bedst beskriver den produktgruppe, der sælges mest af.</t>
  </si>
  <si>
    <t>47.21.00</t>
  </si>
  <si>
    <t>Detailhandel med frugt og grøntsager</t>
  </si>
  <si>
    <t>Branchen omfatter specialiseret detailhandel med frugt og grønt til private. Salget kan foregå på internettet (fx via sociale medier), på markeder og i fysiske butikker.</t>
  </si>
  <si>
    <t>47.22.00</t>
  </si>
  <si>
    <t>Detailhandel med kød og kødprodukter</t>
  </si>
  <si>
    <t>Branchen omfatter specialiseret detailhandel med kød, kødprodukter og fjerkræ til privatpersoner. Salget kan foregå på internettet (fx via sociale medier), på markeder og i fysiske butikker.</t>
  </si>
  <si>
    <t>Smørrebrød lavet til umiddelbar fortæring henvises til 56.11.90.</t>
  </si>
  <si>
    <t>47.23.00</t>
  </si>
  <si>
    <t>Detailhandel med fisk, krebsdyr og bløddyr</t>
  </si>
  <si>
    <t>Branchen omfatter fiskeforretninger, der sælger fisk og lignende til privatpersoner. Salget kan foregå på internettet (fx via sociale medier), på markeder og i fysiske butikker.</t>
  </si>
  <si>
    <t>47.24.00</t>
  </si>
  <si>
    <t>Detailhandel med bagværk og konfekture</t>
  </si>
  <si>
    <t>Branchen omfatter detailhandel med brød og kager, uden eget bageri, samt detailhandel med slik og andre sukkervarer. Branchen omfatter også bagerprodukter, hvor ""bake-off’ benyttes. Salget kan foregå på internettet (fx via sociale medier), på markeder og i fysiske butikker.</t>
  </si>
  <si>
    <t>Detailhandel med brød og kager, herunder hvis bagt i eget bageri, henvises til 10.71.20.</t>
  </si>
  <si>
    <t>47.25.00</t>
  </si>
  <si>
    <t>Detailhandel med drikkevarer</t>
  </si>
  <si>
    <t>Branchen omfatter detailhandel med drikkevarer med/uden alkohol til privatpersoner, fx sodavand, øl eller vin. Salget kan foregå på internettet (fx via sociale medier), på markeder og i fysiske butikker.</t>
  </si>
  <si>
    <t>Salg af drikkevarer til indtagelse på stedet henvises til 56.30.10 og 56.30.20.</t>
  </si>
  <si>
    <t>47.26.00</t>
  </si>
  <si>
    <t>Detailhandel med tobaksvarer</t>
  </si>
  <si>
    <t>Branchen omfatter detailhandel med tobak og lignende produkter, fx e-cigaretter og e-væsker, til privatpersoner. Salget kan foregå på internettet (fx via sociale medier), på markeder og i fysiske butikker.</t>
  </si>
  <si>
    <t>47.27.00</t>
  </si>
  <si>
    <t>Detailhandel med andre fødevarer</t>
  </si>
  <si>
    <t>Branchen omfatter specialiseret detailhandel med fødevarer til privatpersoner, fx ost, helseprodukter, kaffe/te eller delikatesser. Salget kan foregå på internettet (fx via sociale medier), på markeder og i fysiske butikker.</t>
  </si>
  <si>
    <t>47.30.00</t>
  </si>
  <si>
    <t>Detailhandel med motorbrændstoffer</t>
  </si>
  <si>
    <t>Branchen omfatter tankstationer, hvor hovedvægten er på salg af flydende brændstof, eventuelt med tilknyttet kiosk.</t>
  </si>
  <si>
    <t>Tankstationer, hvor hovedvægten er på el, henvises til 35.15.10. Hvis hovedvægten er på kiosksalg, henvises der til 47.11.10.</t>
  </si>
  <si>
    <t>47.40.00</t>
  </si>
  <si>
    <t>Detailhandel med informations- og kommunikationsudstyr</t>
  </si>
  <si>
    <t>Branchen omfatter detailhandel med forbrugerelektronik samt informations- og kommunikationsteknologisk udstyr. Salget kan foregå på internettet (fx via sociale medier), på markeder og i fysiske butikker.</t>
  </si>
  <si>
    <t>47.51.00</t>
  </si>
  <si>
    <t>Detailhandel med tekstiler</t>
  </si>
  <si>
    <t>Branchen omfatter butikker, der sælger stoffer og garn samt syartikler, fx nåle og tråde, til privatpersoner. Salget kan foregå på internettet (fx via sociale medier), på markeder og i fysiske butikker. Branchen omfatter ikke boligtekstiler og færdigsyet tøj.</t>
  </si>
  <si>
    <t>47.52.10</t>
  </si>
  <si>
    <t>Detailhandel med maling og tapet</t>
  </si>
  <si>
    <t>Branchen omfatter detailhandel med maling og tapet samt tilbehør hertil til privatpersoner. Salget kan foregå på internettet (fx via sociale medier), på markeder og i fysiske butikker.</t>
  </si>
  <si>
    <t>47.52.20</t>
  </si>
  <si>
    <t>Detailhandel med byggematerialer og værktøj</t>
  </si>
  <si>
    <t>Branchen omfatter detailhandel med byggematerialer, værktøj og andet isenkram (skruer, søm, beslag mv.), hovedsageligt til privatpersoner, som gør-det-selv. Detailhandel med havemaskiner og sauner, swimmingpools mv. uden installation er også omfattet. Salget kan foregå på internettet (fx via sociale medier), på markeder og i fysiske butikker.</t>
  </si>
  <si>
    <t>47.53.00</t>
  </si>
  <si>
    <t>Detailhandel med tæpper, vægbeklædning og gulvbelægning</t>
  </si>
  <si>
    <t>Branchen omfatter detailhandel med tæpper, vægbeklædning, gulvbelægning, gardiner samt gardinmontage til privatpersoner. Salget kan foregå på internettet (fx via sociale medier), på markeder og i fysiske butikker.</t>
  </si>
  <si>
    <t>47.54.00</t>
  </si>
  <si>
    <t>Detailhandel med elektriske husholdningsapparater</t>
  </si>
  <si>
    <t>Branchen omfatter detailhandel med hårde hvidevarer og fx støvsugere, symaskiner og kaffemaskiner. Salget kan foregå på internettet (fx via sociale medier), på markeder og i fysiske butikker.</t>
  </si>
  <si>
    <t>Detailhandel med havemaskiner, fx plæneklippere, og andet elektrisk håndværktøj henvises til 47.52.20.</t>
  </si>
  <si>
    <t>47.55.10</t>
  </si>
  <si>
    <t>Detailhandel med møbler</t>
  </si>
  <si>
    <t>Branchen omfatter detailhandel med møbler, kurvemøbler, kontormøbler og madrasser. Salget kan foregå på internettet (fx via sociale medier), på markeder og i fysiske butikker.</t>
  </si>
  <si>
    <t>Detailhandel med brugte møbler og antikviteter henvises til 47.79.00.</t>
  </si>
  <si>
    <t>47.55.20</t>
  </si>
  <si>
    <t>Detailhandel med bad- og køkkenelementer mv.</t>
  </si>
  <si>
    <t>Branchen omfatter detailhandel med køkken- og badeværelseselementer. Salget kan foregå på internettet (fx via sociale medier), på markeder og i fysiske butikker.</t>
  </si>
  <si>
    <t>Detailhandel med sanitetsartikler, fx badekar og kummer, henvises til 47.52.20.</t>
  </si>
  <si>
    <t>47.55.30</t>
  </si>
  <si>
    <t>Detailhandel med køkkenudstyr og service mv.</t>
  </si>
  <si>
    <t>Branchen omfatter detailhandel med køkkenredskaber, service, bestik, glas, lertøj mv. Salget kan foregå på internettet (fx via sociale medier), på markeder og i fysiske butikker.</t>
  </si>
  <si>
    <t>47.55.90</t>
  </si>
  <si>
    <t>Detailhandel med boligtekstiler, belysnings- og husholdningsartikler i.a.n.</t>
  </si>
  <si>
    <t>Branchen omfatter detailhandel med boligtekstiler, belysningsartikler, ikke-elektriske husholdsapparater og babyudstyr, fx barnevogne, klapvogne, gangstativer, bæreseler og barnesæder. Salget kan foregå på internettet (fx via sociale medier), på markeder og i fysiske butikker.</t>
  </si>
  <si>
    <t>Detailhandel med baby- og børnetøj henvises til 47.71.20.</t>
  </si>
  <si>
    <t>47.61.00</t>
  </si>
  <si>
    <t>Detailhandel med bøger</t>
  </si>
  <si>
    <t>Branchen omfatter detailhandel med bøger, og evt. papirvarer, men med hovedvægt på bøger. Salget kan foregå på internettet (fx via sociale medier), på markeder og i fysiske butikker.</t>
  </si>
  <si>
    <t>47.62.00</t>
  </si>
  <si>
    <t>Detailhandel med aviser og andre tidsskrifter samt kontorartikler</t>
  </si>
  <si>
    <t>Branchen omfatter detailhandel med aviser, papirvarer og kontorartikler. Detailhandel med plakater er også omfattet. Salget kan foregå på internettet (fx via sociale medier), på markeder og i fysiske butikker.</t>
  </si>
  <si>
    <t>47.63.10</t>
  </si>
  <si>
    <t>Detailhandel med sports- og fritidsudstyr</t>
  </si>
  <si>
    <t>Branchen omfatter detailhandel med udstyr til sport, camping og andre fritidsaktiviteter, fx atletik, jagt, lystfiskeri mv. Salget kan foregå på internettet (fx via sociale medier), på markeder og i fysiske butikker.</t>
  </si>
  <si>
    <t>47.63.20</t>
  </si>
  <si>
    <t>Detailhandel med cykler</t>
  </si>
  <si>
    <t>Branchen omfatter detailhandel med cykler og tilbehør hertil. Salget kan foregå på internettet (fx via sociale medier), på markeder og i fysiske butikker.</t>
  </si>
  <si>
    <t>Reparation af cykler mv. henvises til 95.29.00.</t>
  </si>
  <si>
    <t>47.63.30</t>
  </si>
  <si>
    <t>Detailhandel med lystbåde og udstyr hertil</t>
  </si>
  <si>
    <t>Branchen omfatter detailhandel med lystbåde og tilbehør hertil. Salget kan foregå på internettet (fx via sociale medier), på markeder og i fysiske butikker.</t>
  </si>
  <si>
    <t>47.64.00</t>
  </si>
  <si>
    <t>Detailhandel med spil og legetøj</t>
  </si>
  <si>
    <t>Branchen omfatter detailhandel med spil, legetøj og festartikler. Salget kan foregå på internettet (fx via sociale medier), på markeder og i fysiske butikker.</t>
  </si>
  <si>
    <t>47.69.10</t>
  </si>
  <si>
    <t>Detailhandel med musikinstrumenter</t>
  </si>
  <si>
    <t>Branchen omfatter detailhandel med indspillet musik og musikinstrumenter samt tilbehør hertil, fx cd'er, strenge og nodestativer. Salget kan foregå på internettet (fx via sociale medier), på markeder og i fysiske butikker.</t>
  </si>
  <si>
    <t>47.69.20</t>
  </si>
  <si>
    <t>Detailhandel med kunst mv.</t>
  </si>
  <si>
    <t>Branchen omfatter detailhandel med kunst i kommercielle kunstgallerier, herunder artikler til fx mønt- og frimærkesamlere. Salget kan foregå på internettet (fx via sociale medier), på markeder og i fysiske butikker.</t>
  </si>
  <si>
    <t>47.69.90</t>
  </si>
  <si>
    <t>Detailhandel med andre kulturelle artikler i.a.n</t>
  </si>
  <si>
    <t>Branchen omfatter detailhandel med hobby- og gaveartikler, inkl. brugskunst. Salget kan foregå på internettet (fx via sociale medier), på markeder og i fysiske butikker.</t>
  </si>
  <si>
    <t>47.71.10</t>
  </si>
  <si>
    <t>Detailhandel med tøj</t>
  </si>
  <si>
    <t>Branchen omfatter detailhandel med tøj. Salget kan foregå på internettet (fx via sociale medier), på markeder og i fysiske butikker.</t>
  </si>
  <si>
    <t>Detailhandel med baby- og børnetøj henvises til 47.71.20 og detailhandel med brugt tøj henvises til 47.79.00.</t>
  </si>
  <si>
    <t>47.71.20</t>
  </si>
  <si>
    <t>Detailhandel med baby- og børnetøj</t>
  </si>
  <si>
    <t>Branchen omfatter detailhandel med hovedvægt på baby- og børnetøj. Salget kan foregå på internettet (fx via sociale medier), på markeder og i fysiske butikker.</t>
  </si>
  <si>
    <t>47.72.10</t>
  </si>
  <si>
    <t>Detailhandel med fodtøj</t>
  </si>
  <si>
    <t>Branchen omfatter detailhandel med sko. Salget kan foregå på internettet (fx via sociale medier), på markeder og i fysiske butikker.</t>
  </si>
  <si>
    <t>Skoreparationer henvises til 95.23.00.</t>
  </si>
  <si>
    <t>47.72.20</t>
  </si>
  <si>
    <t>Detailhandel med lædervarer</t>
  </si>
  <si>
    <t>Branchen omfatter detailhandel med lædervarer, inkl. tasker og andre rejseartikler af læder. Salget kan foregå på internettet (fx via sociale medier), på markeder og i fysiske butikker.</t>
  </si>
  <si>
    <t>47.73.00</t>
  </si>
  <si>
    <t>Detailhandel med farmaceutiske produkter</t>
  </si>
  <si>
    <t>Branchen omfatter detailhandel med medicinalvarer til privatpersoner, både receptpligtige varer og håndkøbslægemidler. Salget kan foregå på internettet (fx via sociale medier), på markeder og i fysiske butikker.</t>
  </si>
  <si>
    <t>47.74.10</t>
  </si>
  <si>
    <t>Optikeraktiviteter</t>
  </si>
  <si>
    <t>Branchen omfatter detailhandel med briller, linser og solbriller. Salget kan foregå på internettet (fx via sociale medier), på markeder og i fysiske butikker.</t>
  </si>
  <si>
    <t>47.74.20</t>
  </si>
  <si>
    <t>Detailhandel med andre medicinske og ortopædiske artikler</t>
  </si>
  <si>
    <t>Branchen omfatter detailhandel med andre medicinske og ortopædiske artikler, fx høreapparater, støttestrømper, bandager mv. Salget kan foregå på internettet (fx via sociale medier), på markeder og i fysiske butikker.</t>
  </si>
  <si>
    <t>47.75.00</t>
  </si>
  <si>
    <t>Detailhandel med kosmetikvarer og toiletartikler</t>
  </si>
  <si>
    <t>Branchen omfatter detailhandel med produkter til personlig pleje, fx sæbe, shampoo, kosmetik og aftershave. Salget kan foregå på internettet (fx via sociale medier), på markeder og i fysiske butikker.</t>
  </si>
  <si>
    <t>47.76.10</t>
  </si>
  <si>
    <t>Detailhandel med blomster og planter</t>
  </si>
  <si>
    <t>Branchen omfatter detailhandel med blomster, planter og frø samt gødning. Salget kan foregå på internettet (fx via sociale medier), på markeder og i fysiske butikker.</t>
  </si>
  <si>
    <t>47.76.20</t>
  </si>
  <si>
    <t>Detailhandel med kæledyr og udstyr til kæledyr</t>
  </si>
  <si>
    <t>Branchen omfatter detailhandel med kæledyr samt tilbehør til disse, fx hunde-/kattemad, kaniner, akvariefisk mv. Salget kan foregå på internettet (fx via sociale medier), på markeder og i fysiske butikker.</t>
  </si>
  <si>
    <t>47.77.00</t>
  </si>
  <si>
    <t>Detailhandel med ure og smykker</t>
  </si>
  <si>
    <t>Branchen omfatter detailhandel med ure og smykker (af ædle metaller) samt guld- og sølvvarer, fx sølvtøj, lysestager mv. Salget kan foregå på internettet (fx via sociale medier), på markeder og i fysiske butikker.</t>
  </si>
  <si>
    <t>Detailhandel med bijouteri henvises til 47.78.00.</t>
  </si>
  <si>
    <t>47.78.00</t>
  </si>
  <si>
    <t>Detailhandel med andre nye varer</t>
  </si>
  <si>
    <t>Branchen omfatter detailhandel med andre nye varer, fx fotografiapparater, kunstige blomster, kikkerter, souvenir, bijouteri, kunsthåndværk, fyringsolie, brænde og andre nonfood varer. Salget kan foregå på internettet (fx via sociale medier), på markeder og i fysiske butikker.</t>
  </si>
  <si>
    <t>47.79.00</t>
  </si>
  <si>
    <t>Detailhandel med brugte varer</t>
  </si>
  <si>
    <t>Branchen omfatter detailhandel med genbrugsvarer, antikviteter og andre brugte varer, dog ikke brugte motorkøretøjer. Salget kan foregå på internettet (fx via sociale medier), på markeder og i fysiske butikker.</t>
  </si>
  <si>
    <t>Auktionshuses salg af varer (på vegne af tredjepart) til private henvises til 47.9. Loppesupermarkeders udlejning af reol- eller gulvplads til private, inklusiv salgspersonale, henvises til 47.91.00.</t>
  </si>
  <si>
    <t>47.81.00</t>
  </si>
  <si>
    <t>Detailhandel med motorkøretøjer</t>
  </si>
  <si>
    <t>Branchen omfatter detailhandel med nye og brugte personbiler, varebiler og minibusser, inklusiv campingvogne og trailere.</t>
  </si>
  <si>
    <t>47.82.00</t>
  </si>
  <si>
    <t>Detailhandel med reservedele og tilbehør til motorkøretøjer</t>
  </si>
  <si>
    <t>Branchen omfatter detailhandel med alle typer reservedele, komponenter, udstyr, redskaber og tilbehør til motorkøretøjer, undtagen til motorcykler, jf. 47.83.00. Motorbrændstof betragtes ikke som en reservedel.</t>
  </si>
  <si>
    <t>47.83.00</t>
  </si>
  <si>
    <t>Detailhandel med motorcykler samt reservedele og tilbehør dertil</t>
  </si>
  <si>
    <t>Branchen omfatter detailhandel med motorcykler, knallerter og scootere samt reservedele og tilbehør hertil.</t>
  </si>
  <si>
    <t>47.91.00</t>
  </si>
  <si>
    <t>Formidlingsaktiviteter inden for ikke-specialiseret detailhandel</t>
  </si>
  <si>
    <t>Branchen omfatter formidling af transaktioner mellem sælgere og købere, dvs. mellem ikke-specialiserede detailhandlere og privatforbrugere. Branchen omfatter også udlejning af salgsplads til private, fx i reolsupermarkeder og lignende.</t>
  </si>
  <si>
    <t>47.92.00</t>
  </si>
  <si>
    <t>Formidlingsaktiviteter inden for specialiseret detailhandel</t>
  </si>
  <si>
    <t>Branchen omfatter formidling af transaktioner mellem sælgere og købere, dvs. mellem specialiserede detailhandlere og privatforbrugere.</t>
  </si>
  <si>
    <t>49.11.00</t>
  </si>
  <si>
    <t>Persontransport med regional- eller fjerntog</t>
  </si>
  <si>
    <t>Branchen omfatter transport af passagerer med regional- og fjerntog, heunder drift af sove- og spisevogne, som led i driften af jernbaneselskaber.</t>
  </si>
  <si>
    <t>Drift af sove- eller spisevogne drevet af særskilte enheder henvises til 55.90.00 og 56.11.10.</t>
  </si>
  <si>
    <t>49.12.00</t>
  </si>
  <si>
    <t>Persontransport med nærbane</t>
  </si>
  <si>
    <t>Branchen omfatter passagertransport på skinner i by- og forstadsområder.</t>
  </si>
  <si>
    <t>49.20.00</t>
  </si>
  <si>
    <t>Godstransport med tog</t>
  </si>
  <si>
    <t>Branchen omfatter al godstransport med tog og tovbaner.</t>
  </si>
  <si>
    <t>Godshåndtering og godsterminalaktiviteter henvises til 52.24.00 og 52.21.10.</t>
  </si>
  <si>
    <t>49.31.00</t>
  </si>
  <si>
    <t>Passagertransport ad vej med fast køreplan</t>
  </si>
  <si>
    <t>Branchen omfatter persontransport i køretøjer med fast køreplan, fx bybusser, skolebusser og medarbejdertransport.</t>
  </si>
  <si>
    <t>49.32.00</t>
  </si>
  <si>
    <t>Passagertransport ad vej uden fast køreplan</t>
  </si>
  <si>
    <t>Branchen omfatter persontransport i køretøjer (til 10 personer eller flere) uden fast køreplan, fx med turistbus eller minibus.</t>
  </si>
  <si>
    <t>Persontansport i køretøj (max 9 personer) med chauffør, fx taxi eller limousine, henvises til 49.33.00.</t>
  </si>
  <si>
    <t>49.33.00</t>
  </si>
  <si>
    <t>Passagertransport på bestilling i køretøj med chauffør</t>
  </si>
  <si>
    <t>Branchen omfatter persontransport (til max 9 personer) på bestilling, i køretøj med chauffør, fx taxa eller limousine.</t>
  </si>
  <si>
    <t>49.34.00</t>
  </si>
  <si>
    <t>Passagertransport med tovbaner og skilifter</t>
  </si>
  <si>
    <t>Branchen omfatter passagertransport med tovbaner, ski- og stolelifte, herunder godstransport med tovbaner.</t>
  </si>
  <si>
    <t>49.39.00</t>
  </si>
  <si>
    <t>Anden landpassagertransport i.a.n.</t>
  </si>
  <si>
    <t>Branchen omfatter passagertransport med køretøjer, der trækkes af mennesker eller dyr, fx cykeltaxi eller hestevogn.</t>
  </si>
  <si>
    <t>49.41.00</t>
  </si>
  <si>
    <t>Vejgodstransport</t>
  </si>
  <si>
    <t>Branchen omfatter transport af gods ad vej, fx med levende dyr eller biler.</t>
  </si>
  <si>
    <t>Flytteaktiviteter henvises til 49.42.00.</t>
  </si>
  <si>
    <t>49.42.00</t>
  </si>
  <si>
    <t>Flytteaktiviteter</t>
  </si>
  <si>
    <t>Branchen omfatter flytning for virksomheder og husholdninger ad vej, herunder opbevaring af flyttegods.</t>
  </si>
  <si>
    <t>49.50.00</t>
  </si>
  <si>
    <t>Rørtransport</t>
  </si>
  <si>
    <t>Branchen omfatter transport af gasser, væsker, slam mv. via rørledninger samt drift af pumpestationer.</t>
  </si>
  <si>
    <t>Distribution af væsker med lastbil henvises til 49.41.00.</t>
  </si>
  <si>
    <t>50.10.00</t>
  </si>
  <si>
    <t>Sø- og kysttransport af passagerer</t>
  </si>
  <si>
    <t>Branchen omfatter sø- og kysttransport af passagerer, fx med færger eller vandtaxier. Branchen omfatter også udlejning af fritidsbåde med besætning til sø- og kysttransport, fx til fisketure.</t>
  </si>
  <si>
    <t>50.20.00</t>
  </si>
  <si>
    <t>Sø- og kysttransport af gods</t>
  </si>
  <si>
    <t>Branchen omfatter sø- og kysttransport af gods, inkl. bugsering af pramme eller olieboreplatforme. Branchen omfatter også udlejning af fartøjer med besætning til sø- og kysttransport af gods.</t>
  </si>
  <si>
    <t>50.30.00</t>
  </si>
  <si>
    <t>Transport af passagerer ad indre vandveje</t>
  </si>
  <si>
    <t>Branchen omfatter transport af passagerer ad floder, kanaler, havne og andre indre vandveje. Branchen omfatter også udlejning af fritidsbåde med besætning til transport ad indre vandveje.</t>
  </si>
  <si>
    <t>50.40.00</t>
  </si>
  <si>
    <t>Transport af gods ad indre vandveje</t>
  </si>
  <si>
    <t>Branchen omfatter transport af gods ad floder, kanaler, havne og andre indre vandveje. Branchen omfatter også udlejning af fartøjer med besætning til transport af gods ad indre vandveje.</t>
  </si>
  <si>
    <t>51.10.10</t>
  </si>
  <si>
    <t>Passagertransport med rutefly</t>
  </si>
  <si>
    <t>Branchen omfatter ruteflyvning med passagerer.</t>
  </si>
  <si>
    <t>51.10.20</t>
  </si>
  <si>
    <t>Passagertransport med charter- og taxifly</t>
  </si>
  <si>
    <t>Branchen omfatter charter- og taxiflyvning og sightseeing. Branchen omfatter også udlejning af lufttransportudstyr med operatør med henblik på passagertransport.</t>
  </si>
  <si>
    <t>51.21.00</t>
  </si>
  <si>
    <t>Lufttransport af gods</t>
  </si>
  <si>
    <t>Branchen omfatter lufttransport af gods samt udlejning af lufttransportudstyr med operatør med henblik på godstransport.</t>
  </si>
  <si>
    <t>51.22.00</t>
  </si>
  <si>
    <t>Rumfart</t>
  </si>
  <si>
    <t>Branchen omfatter rumtransport af gods og passagerer samt opsendelse af satellitter og rumfartøjer.</t>
  </si>
  <si>
    <t>52.10.00</t>
  </si>
  <si>
    <t>Oplagring og opbevaring</t>
  </si>
  <si>
    <t>Branchen omfatter drift af kornsiloer, pakhuse, køle- og møbellagre mv.</t>
  </si>
  <si>
    <t>Drift af selfstorage-faciliteter henvises til 68.20.40 og opbevaring af møbler som en del af en flytteaktivitet henvises til 49.42.00.</t>
  </si>
  <si>
    <t>52.21.10</t>
  </si>
  <si>
    <t>Drift af stationer, godsterminaler mv.</t>
  </si>
  <si>
    <t>Branchen omfatter drift af terminalfaciliteter, fx jernbane- og busstationer.</t>
  </si>
  <si>
    <t>Godshåndtering henvises til 52.24.00.</t>
  </si>
  <si>
    <t>52.21.20</t>
  </si>
  <si>
    <t>Drift af parkering og vejhjælp mv.</t>
  </si>
  <si>
    <t>Branchen omfatter drift af parkeringspladser og -garager, cykelparkering, vinteropbevaring af campingvogne mv. Branchen omfatter også bugsering og vejhjælp.</t>
  </si>
  <si>
    <t>52.21.30</t>
  </si>
  <si>
    <t>Drift af betalingsveje, -broer og -tunneler</t>
  </si>
  <si>
    <t>Branchen omfatter drift af betalingsveje, -broer og -tunneler.</t>
  </si>
  <si>
    <t>Anlæg og vedligeholdelse af veje henvises til 42.11.00 og anlæg og vedligeholdelse af broer og tunneller henvises til 42.12.00.</t>
  </si>
  <si>
    <t>52.22.10</t>
  </si>
  <si>
    <t>Drift af erhvervshavne</t>
  </si>
  <si>
    <t>Branchen omfatter drift af erhvervshavne, moler og sluser.</t>
  </si>
  <si>
    <t>Udgravning og vedligeholdelse af vandveje henvises til 42.91.00.</t>
  </si>
  <si>
    <t>52.22.20</t>
  </si>
  <si>
    <t>Drift af bugserings-, bjærgnings- og redningsvæsen mv.</t>
  </si>
  <si>
    <t>Branchen omfatter rednings-, navigations og bugseringsvæsen, bjærningsaktiviteter og drift af fyrtårne.</t>
  </si>
  <si>
    <t>52.23.00</t>
  </si>
  <si>
    <t>Serviceydelser i forbindelse med luftfart</t>
  </si>
  <si>
    <t>Branchen omfatter serviceydelser i forbindelse med lufttransport af passagerer, dyr og gods, fx drift af lufthavnsterminaler, luftkontrol og opbevaring af fly.</t>
  </si>
  <si>
    <t>52.24.00</t>
  </si>
  <si>
    <t>Godshåndtering</t>
  </si>
  <si>
    <t>Branchen omfatter lastning og losning af gods og baggage samt udlejning af portal- eller vippekraner til godshåndtering mv.</t>
  </si>
  <si>
    <t>52.25.00</t>
  </si>
  <si>
    <t>Serviceydelser i forbindelse med logistik</t>
  </si>
  <si>
    <t>Branchen omfatter serviceydelser i forbindelse med logistik, fx distributionsaktiviteter, opsamling af varer til forsendelse og midlertidig pakning i transportkasser.</t>
  </si>
  <si>
    <t>Speditionsaktiviteter henvises til 52.26.00.</t>
  </si>
  <si>
    <t>52.26.00</t>
  </si>
  <si>
    <t>Andre støtteaktiviteter i forbindelse med transport</t>
  </si>
  <si>
    <t>Branchen omfatter støtteaktiviteter til transportbranchen, fx udstedelse af transportdokumenter, organisering af transportaktiviteter og speditionsaktiviteter.</t>
  </si>
  <si>
    <t>52.31.00</t>
  </si>
  <si>
    <t>Formidlingsaktiviteter inden for godstransport</t>
  </si>
  <si>
    <t>Branchen omfatter formidlingsaktiviteter inden for godstransport, fx jernbane-, skibs- og flyfragtagentaktiviteter.</t>
  </si>
  <si>
    <t>52.32.00</t>
  </si>
  <si>
    <t>Formidlingsaktiviteter inden for passagertransport</t>
  </si>
  <si>
    <t>Branchen omfatter formidlingsaktiviteter i forbindelse med passagertransport, fx formidling af taxitjenester (uden at transportere) eller reservations- og bookingtjenester i forbindelse med passagertransport.</t>
  </si>
  <si>
    <t>53.10.00</t>
  </si>
  <si>
    <t>Postaktiviteter omfattet af forsyningspligten</t>
  </si>
  <si>
    <t>Branchen omfatter posttjenester under befordringspligten, inkl. forbehandling af uddeling, fx opsamling og sortering.</t>
  </si>
  <si>
    <t>53.20.00</t>
  </si>
  <si>
    <t>Andre post- og kuréraktiviteter</t>
  </si>
  <si>
    <t>Branchen omfatter post- og kurertjenester, der ikke er omfattet af befordringspligten, fx afhentning, sortering, transport og udbringning (både nationalt og internationalt) af brevpost og pakker. Branchen omfatter også hjemmelevering af måltider og fødevarer, men kun leveringen heraf.</t>
  </si>
  <si>
    <t>53.30.00</t>
  </si>
  <si>
    <t>Formidlingsaktiviteter inden for post- og kuréraktiviteter</t>
  </si>
  <si>
    <t>Branchen omfatter formidlingsaktiviteter inden for post- og kurertjenester af tredjepart for posttjenesteudbyderen. Drift af onlineplaforme, hvor der kan bestilles levering af mad, dvs. bestilling af transporten, er også omfattet.</t>
  </si>
  <si>
    <t>Drift af onlineplatforme til bestilling af mad henvises til 56.40.00.</t>
  </si>
  <si>
    <t>55.10.00</t>
  </si>
  <si>
    <t>Drift af hoteller og lignende overnatningsfaciliteter</t>
  </si>
  <si>
    <t>Branchen omfatter udbud af indkvartering på hoteller, suite- og lejlighedshoteller på daglig eller ugentlig basis. Der tilbydes daglig rengøring og sengeredning, men der kan leveres yderligere tjenesteydelser, fx mad og drikke, tøjvask, trænings- eller mødefaciliteter.</t>
  </si>
  <si>
    <t>Overnatningsfaciliteter uden daglig rengøring, sengeredning og kundeservice på stedet henvises til 55.20.00.</t>
  </si>
  <si>
    <t>55.20.00</t>
  </si>
  <si>
    <t>Drift af ferieboliger og andre overnatningsfaciliteter til kortvarige ophold</t>
  </si>
  <si>
    <t>Branchen omfatter kortvarig indkvartering, fx på vandrehjem, lejrskoler, gæstelejligheder og bungalows samt møblerede hytter og sommerhuse. Rengøring er typisk en service, der betales ekstra for, eller som udføres efter endt ophold. Branchen omfatter fx B&amp;B, sommerhuse og selvbetjeningshoteller uden daglig rengøring og sengeredning.</t>
  </si>
  <si>
    <t>55.30.00</t>
  </si>
  <si>
    <t>Drift af campingpladser</t>
  </si>
  <si>
    <t>Branchen omfatter udbud af kortvarige overnatningsfaciliteter, fx campingpladser, turistpladser, fiske- og jagtpladser samt udbud af plads og faciliteter til fritidskøretøjer.</t>
  </si>
  <si>
    <t>55.40.00</t>
  </si>
  <si>
    <t>Formidlingsaktiviteter inden for overnatningsfaciliteter</t>
  </si>
  <si>
    <t>Branchen omfatter formidling af alle typer overnatningsfaciliteter ved at bringe kunder og tjenesteudbydere sammen mod et gebyr eller en provision. Formidlingen kan udføres på digitale platforme eller via ikke-digitale kanaler (telefon, post mv.).</t>
  </si>
  <si>
    <t>55.90.00</t>
  </si>
  <si>
    <t>Andre overnatningsfaciliteter</t>
  </si>
  <si>
    <t>Branchen omfatter udbud af indkvartering i enkeltværelser, delte værelser eller sovesale for fx studerende eller sæsonarbejdere, i længere perioder, men mindre end et år. Det kan være indkvartering i arbejderkollegier, studieboliger, jernbanevogne, logihuse og pensionater.</t>
  </si>
  <si>
    <t>56.11.10</t>
  </si>
  <si>
    <t>Servering af mad i restauranter og caféer</t>
  </si>
  <si>
    <t>Branchen omfatter drift af restauranter og caféer, hvor hovedvægten ligger på servering af mad ved bordet.</t>
  </si>
  <si>
    <t>Branchen omfatter også restauranter i fx tog, på færger eller i hoteller, hvis restauranten drives af en selvstændig udbyder.</t>
  </si>
  <si>
    <t>56.11.90</t>
  </si>
  <si>
    <t>Drift af øvrige spisesteder</t>
  </si>
  <si>
    <t>Branchen omfatter drift af spisesteder, hvor hovedvægten ligger på takeaway med meget begrænset servering ved borde. Branchen omfatter også restauranter med takeaway i supermarkeder, hvis restauranten drives af en selvstændig udbyder.</t>
  </si>
  <si>
    <t>Fremstilling af smørrebrød, der produceres til videresalg og ikke til umiddelbar fortæring, henvises til 10.89.00.</t>
  </si>
  <si>
    <t>56.12.00</t>
  </si>
  <si>
    <t>Drift af mobile madboder</t>
  </si>
  <si>
    <t>Branchen omfatter drift af mobile madboder, hvor der primært tilberedes og serveres fødevarer til umiddelbar indtagelse.</t>
  </si>
  <si>
    <t>Tilberedning og servering af mad fra mobile eller midlertidige boder på kontrakt med en kunde til en bestemt event henvises til 56.21.00 og mobil drikkevareservering henvises til 56.30.10 og 56.30.20.</t>
  </si>
  <si>
    <t>56.21.00</t>
  </si>
  <si>
    <t>Event catering</t>
  </si>
  <si>
    <t>Branchen omfatter cateringaktiviteter i forbindelse med enkeltbegivenheder, på kontraktlige aftaler med kunden, fx eventcatering, diner tranportable og kogekoner.</t>
  </si>
  <si>
    <t>Fremstilling af letfordærvelige fødevarer til videresalg henvises til 10.89.00.</t>
  </si>
  <si>
    <t>56.22.00</t>
  </si>
  <si>
    <t>Catering på kontrakt og andre restaurationsaktiviteter</t>
  </si>
  <si>
    <t>Branchen omfatter catering på kontrakt til kantiner, cafeterier eller transportselskaber, fx flyselskaber. Maden kan også tilberedes direkte på stedet hos kunden, fx i kantiner på virksomheder, skoler, hospitaler mv.</t>
  </si>
  <si>
    <t>56.30.10</t>
  </si>
  <si>
    <t>Udskænkning af ikke-alkoholiske drikkevarer</t>
  </si>
  <si>
    <t>Branchen omfatter servering af drikkevarer, evt. med lidt spiseligt, men hvor hovedvægten er på servering af ikke-alkoholiske drikkevarer til umiddelbar indtagelse på stedet.</t>
  </si>
  <si>
    <t>56.30.20</t>
  </si>
  <si>
    <t>Udskænkning af alkoholiske drikkevarer</t>
  </si>
  <si>
    <t>Branchen omfatter servering af drikkevarer, evt. med lidt spiseligt, men hvor hovedvægten er på servering af alkoholiske drikkevarer til umiddelbar indtagelse på stedet.</t>
  </si>
  <si>
    <t>56.40.00</t>
  </si>
  <si>
    <t>Formidlingsaktiviteter i forbindelse med restaurationsaktiviteter</t>
  </si>
  <si>
    <t>Branchen omfatter formidling af føde- og drikkevaretjenester ved at bringe kunder og tjenesteudbydere sammen mod et gebyr eller en provision, uden at formidleren leverer de føde- og drikkevaretjenester, der formidles. Denne formidling kan udføres på digitale platforme eller via ikke-digitale kanaler (ansigt til ansigt, telefon, post mv.).</t>
  </si>
  <si>
    <t>58.11.00</t>
  </si>
  <si>
    <t>Udgivelse af bøger</t>
  </si>
  <si>
    <t>Branchen omfatter udgivelse af bøger, brochurer, ordbøger, encyklopædier, atlasser, land- og søkort og lydbøger på tryk, digitalt, analogt eller anden form.</t>
  </si>
  <si>
    <t>Streaming af lydbøger, der ikke har forbindelse med dens udgivelse, henvises til 60.10.00.</t>
  </si>
  <si>
    <t>58.12.00</t>
  </si>
  <si>
    <t>Udgivelse af aviser og dagblade</t>
  </si>
  <si>
    <t>Branchen omfatter udgivelse af aviser og dagblade på tryk, digitalt, analogt eller enhver anden form. Branchen omfatter også gratisaviser.</t>
  </si>
  <si>
    <t>58.13.00</t>
  </si>
  <si>
    <t>Udgivelse af ugeblade og magasiner</t>
  </si>
  <si>
    <t>Branchen omfatter udgivelse af tidsskrifter og andre magasiner, men også radio- og tv-tidsplaner på tryk, digitalt, analogt eller enhver anden form.</t>
  </si>
  <si>
    <t>58.19.00</t>
  </si>
  <si>
    <t>Andre udgiveraktiviteter, undtagen udgivelse af software</t>
  </si>
  <si>
    <t>Branchen omfatter udgivelse af kataloger, retspraksissamlinger, kompendier, lykønskningskort, plakater mv. samt reproduktioner af kunstværker, både på tryk og digitalt.</t>
  </si>
  <si>
    <t>58.21.00</t>
  </si>
  <si>
    <t>Udgivelse af videospil</t>
  </si>
  <si>
    <t>Branchen omfatter udgivelse af computerspil til alle platforme og køb i apps af udgiveren til alle brugere, inklusiv abonnenter. Omfatter også formidlingsservice til udgivelse af videospilsoftware.</t>
  </si>
  <si>
    <t>58.29.00</t>
  </si>
  <si>
    <t>Anden udgivelse af software</t>
  </si>
  <si>
    <t>Branchen omfatter udgivelse af anden software, fx operativsystemer, cybersikkerhedssoftware, modelleringssoftware og formidlingsservice i forbindelse med softwareudgivelse samt markedspladser herfor.</t>
  </si>
  <si>
    <t>Reproduktion af software henvises til 18.20.00.</t>
  </si>
  <si>
    <t>59.11.00</t>
  </si>
  <si>
    <t>Produktion af film, videoer og TV-programmer</t>
  </si>
  <si>
    <t>Branchen omfatter produktion af film, videoer, reklamefilm, animerede audiovisuelle værker, vlogs mv.</t>
  </si>
  <si>
    <t>Reproduktion af film til biografdistribution henvises til 59.12.00.</t>
  </si>
  <si>
    <t>59.12.00</t>
  </si>
  <si>
    <t>Aktiviteter efter produktion af film, videoer og TV-programmer</t>
  </si>
  <si>
    <t>Branchen omfatter efterproduktionsaktiviteter, fx overførsel til film/bånd, redigering, undertekstning, konvertering til videostreamingformater samt udvikling og bearbejdning af biograffilm, inkl. reproduktion af spillefilm med henblik på distribution til biografer.</t>
  </si>
  <si>
    <t>59.13.00</t>
  </si>
  <si>
    <t>Distribution af film og videoer</t>
  </si>
  <si>
    <t>Branchen omfatter distribution af film og audiovisuelle værker, fx film til biografer, tv-stationer og tv-netværk.</t>
  </si>
  <si>
    <t>59.14.00</t>
  </si>
  <si>
    <t>Fremvisning af film og andre billedmedier</t>
  </si>
  <si>
    <t>Branchen omfatter fremvisning af film i fx biografer eller andre fremvisningssteder.</t>
  </si>
  <si>
    <t>59.20.00</t>
  </si>
  <si>
    <t>Indspilning af lydoptagelser og udgivelse af musik</t>
  </si>
  <si>
    <t>Branchen omfatter produktion af originale lyd- og masteroptagelser, herunder erhvervelse og registrering af ophavsret til fx musikkompositioner. Produktion af indspillede (dvs. ikke direkte) radioprogrammer mv. og udgivelse af musik er også omfattet.</t>
  </si>
  <si>
    <t>Reproduktion fra masterkopier af henvises til 18.20.00.</t>
  </si>
  <si>
    <t>60.10.00</t>
  </si>
  <si>
    <t>Radioaktiviteter og distribution af lydoptagelser</t>
  </si>
  <si>
    <t>Branchen omfatter radioaktiviteter og distribution af lydoptagelser, fx streaming, on-demand eller direkte udsendelse af podcast.</t>
  </si>
  <si>
    <t>60.20.00</t>
  </si>
  <si>
    <t>Programskabelse, udgivelse og distribution af billedoptagelser</t>
  </si>
  <si>
    <t>Branchen omfatter dannelse af et fuldstændigt programudbud til en tv-kanal ud fra egenproducerede eller indkøbte programmer. Videostreaming og downloadservice uden forbindelse til udgivelse deraf er også omfattet.</t>
  </si>
  <si>
    <t>Udgivelse af videospil samt streaming- og downloadservices henvises til 58.21.00.</t>
  </si>
  <si>
    <t>60.31.00</t>
  </si>
  <si>
    <t>Nyhedsbureauers aktiviteter</t>
  </si>
  <si>
    <t>Branchen omfatter nyhedsbureauers aktiviteter, fx levering af nyheder, billeder og indslag til medier, udgivere og tv-selskaber.</t>
  </si>
  <si>
    <t>60.39.00</t>
  </si>
  <si>
    <t>Anden distribution af medieindhold</t>
  </si>
  <si>
    <t>Branchen omfatter distribution af medieindhold, fx via websider med indholdsdeling, såsom wiki- og sociale medier, hvor der ikke er redaktionelt ansvar og kontrol, samt drift af online spil-/videospilsider (uden forbindelse til udgivelse).</t>
  </si>
  <si>
    <t>Udgivelse af videospil og anden software henvises til 58.21.00 og 58.29.00.</t>
  </si>
  <si>
    <t>61.10.00</t>
  </si>
  <si>
    <t>Levering af fastnetbaseret, trådløs og satellitbaseret telekommunikation</t>
  </si>
  <si>
    <t>Branchen omfatter transmission, drift, vedligeholdelse og udbud af fastnetbaseret, trådløs og satellitbaseret telekommunikation.</t>
  </si>
  <si>
    <t>IP-telefoni (VoIP)-levering, uden driftsfaciliteter til transmission af data, henvises til 61.90.00.</t>
  </si>
  <si>
    <t>61.20.00</t>
  </si>
  <si>
    <t>Videresalg af telekommunikation og formidlingsaktiviteter inden for telekommunikation</t>
  </si>
  <si>
    <t>Branchen omfatter videresalg af fastnetbaseret, trådløs og satellitbaseret telekommunikation. Telekommunikationsmægleraktiviteter og forhandleraktiviteter i forbindelse med forudbetalte telefonkort og -services er også omfattet.</t>
  </si>
  <si>
    <t>61.90.00</t>
  </si>
  <si>
    <t>Andre telekommunikationsaktiviteter</t>
  </si>
  <si>
    <t>Branchen omfatter levering af specialiserede telekommunikationsapplikationer, fx telemetri, notifikationsservices eller IP-telefoni.</t>
  </si>
  <si>
    <t>62.10.00</t>
  </si>
  <si>
    <t>Computerprogrammering</t>
  </si>
  <si>
    <t>Branchen omfatter udvikling, programmering, test og vedligeholdelse af software og applikationer. Tilpasning af software, så den kan fungere inden for klientens informationssystemmiljø, er også omfattet.</t>
  </si>
  <si>
    <t>Udgivelse af software eller spil, herunder af egen-udviklede programmer, henvises til 58.21.00 og 58.29.00.</t>
  </si>
  <si>
    <t>62.20.00</t>
  </si>
  <si>
    <t>Computerkonsulentbistand og forvaltning af computerfaciliteter</t>
  </si>
  <si>
    <t>Branchen omfatter computerkonsulentbistand samt analyser af brugerbehov og -problemer vedrørende planlægning og design af computersystemer, der integrerer hardware, software og anden informationsteknologi. Branchen omfatter også installation, oplæring og support til brugerne af systemet.</t>
  </si>
  <si>
    <t>62.90.00</t>
  </si>
  <si>
    <t>Andre IT- og computerserviceaktiviteter</t>
  </si>
  <si>
    <t>Branchen omfatter informationsteknologiske og computerbeslægtede serviceaktiviteter, fx gendannelse af computersystemer og installation af personlige computer og tredjeparts software.</t>
  </si>
  <si>
    <t>63.10.00</t>
  </si>
  <si>
    <t>IT-infrastruktur, databehandling, hosting og relaterede aktiviteter</t>
  </si>
  <si>
    <t>Branchen omfatter bl.a. levering af cloudinfrastruktur og platforme (IaaS, PaaS mv.), udlejning af server- og networkingplads på datacentre og blockchain/distributed ledger-teknologi (DLT) samt databehandlingsaktiviteter. Branchen omfatter desuden behandling af data (leveret af kunder) og hostingaktiviteter (fx applikationshosting) mv.</t>
  </si>
  <si>
    <t>63.91.00</t>
  </si>
  <si>
    <t>Drift af portaler til internettet</t>
  </si>
  <si>
    <t>Branchen omfatter drift af internetsider, der anvender en søgemaskine til at skabe og vedligeholde store databaser med internetadresser, herunder drift af sammenligningssider.</t>
  </si>
  <si>
    <t>63.92.00</t>
  </si>
  <si>
    <t>Andre informationsaktiviteter</t>
  </si>
  <si>
    <t>Branchen omfatter informationstjenester på honorar- eller kontraktbasis, fx informationssøgetjenester (fx ved web-harvesting), udklipsservice, kompilering af information eller adresselister mv.</t>
  </si>
  <si>
    <t>64.11.00</t>
  </si>
  <si>
    <t>Centralbankers aktiviteter</t>
  </si>
  <si>
    <t>Branchen omfatter aktiviteter i forbindelse med udstedelse af penge, opretholdelse af den indenlandske og udenlandske værdi af den nationale valuta, samt at opbevare landets internationale reserver.</t>
  </si>
  <si>
    <t>64.19.00</t>
  </si>
  <si>
    <t>Andre pengeinstitutters aktiviteter</t>
  </si>
  <si>
    <t>Branchen omfatter pengeinstitutter, der modtager indlån og yder kredit eller udlån af kapital. Ydelsen af kredit kan fx være lån, realkredit eller kreditkort.</t>
  </si>
  <si>
    <t>Aktiviteten kræver tilladelse som pengeinstitut jf. Lov om Finansiel Virksomhed.</t>
  </si>
  <si>
    <t>64.21.10</t>
  </si>
  <si>
    <t>Finansielle holdingselskaber</t>
  </si>
  <si>
    <t>Branchen omfatter holdingselskabers aktiviteter, dvs. selskaber, der ejer kontrollerende andele i andre finansielle selskaber. Selskabernes eneste formål er at eje andele i andre finansielle selskaber. Selskaberne yder ingen service til de selskaber, de ejer, dvs. de administrerer ikke andre enheder. Finansielle selskaber er registreret med branchekoder, der starter med 64, 65 eller 66.</t>
  </si>
  <si>
    <t>Selskaber, hvis hovedaktivitet alene er at eje ikke-kontrollerende andele i andre selskaber, henvises til 64.32.00.</t>
  </si>
  <si>
    <t>Selskaber, der ejer ikke-kontrollerende andele i andre selskaber og har anden økonomisk aktivitet, fx investering i værdipapirer og/eller aktier, henvises til 64.99.90.</t>
  </si>
  <si>
    <t>64.21.20</t>
  </si>
  <si>
    <t>Ikke-finansielle holdingselskaber</t>
  </si>
  <si>
    <t>Branchen omfatter holdingselskabers aktiviteter, dvs. selskaber, der ejer kontrollerende andele i andre ikke-finansielle selskaber. Selskabernes eneste formål er at eje andele i andre ikke-finansielle selskaber. Selskaberne yder ingen service til de selskaber, de ejer, dvs. de administrerer ikke andre enheder. Ikke-finansielle selskaber er registreret med branchekoder, der ikke starter med 64, 65 eller 66.</t>
  </si>
  <si>
    <t>64.21.30</t>
  </si>
  <si>
    <t>Gennemløbsholdingselskaber</t>
  </si>
  <si>
    <t>Branchen omfatter udenlandsk kontrollerede selskaber, hvis hovedaktivitet er at eje kontrollerende andele i andre udenlandske selskaber, herunder at foretage udlån til udenlandske koncernselskaber.</t>
  </si>
  <si>
    <t>64.22.00</t>
  </si>
  <si>
    <t>Finansielle conduiters aktiviteter</t>
  </si>
  <si>
    <t>Branchen omfatter finansielle conduiters aktiviteter, herunder at skaffe eller låne midler, normalt ved at udstede obligationer på det åbne marked, og sende disse midler til moderselskabet eller andre enheder i koncernen.</t>
  </si>
  <si>
    <t>64.31.10</t>
  </si>
  <si>
    <t>Pengemarkedsfondes aktiviteter</t>
  </si>
  <si>
    <t>Branchen omfatter pengemarkedsforeningers aktiviteter, fx udstededelse af investeringsbeviser eller -andele. Deltagernes midler investeres i særligt sikre finansielle aktiver med kort løbetid.</t>
  </si>
  <si>
    <t>64.31.20</t>
  </si>
  <si>
    <t>Andre investeringsfondes aktiviteter</t>
  </si>
  <si>
    <t>Branchen omfatter kollektive investeringsordningers aktiviteter, undtagen pengemarkedsforeninger, fx udstedelse af investeringsbeviser eller -andele.</t>
  </si>
  <si>
    <t>64.32.00</t>
  </si>
  <si>
    <t>Trusters aktiviteter</t>
  </si>
  <si>
    <t>Branchen omfatter administration af klient-, ejendoms- og bureaukonti, på vegne af flere begunstigede i henhold til en forvaltningsaftale, et testamente eller en agenturaftale. Branchen omfatter også aktiviteter i selskaber, der ejer ikke-kontrollerende andele i andre selskaber og ikke har øvrig aktivitet.</t>
  </si>
  <si>
    <t>64.91.00</t>
  </si>
  <si>
    <t>Finansiel leasing</t>
  </si>
  <si>
    <t>Branchen omfatter finansiel leasing, hvor lejeperioden omtrent dækker aktivets levetid. Ved finansiel leasing er det lejer, som har alle risici ved at eje aktivet. Aktivet kan senere overdrages til udlejeren.</t>
  </si>
  <si>
    <t>Virksomheder, der beskæftiger sig med operationel leasing, henvises til brancher, der starter med 77.</t>
  </si>
  <si>
    <t>64.92.10</t>
  </si>
  <si>
    <t>Realkreditinstitutters aktiviteter</t>
  </si>
  <si>
    <t>Branchen omfatter ydelse af lån mod registreret pant i fast ejendom på grundlag af udstedelse af realkreditobligationer eller andre værdipapirer.</t>
  </si>
  <si>
    <t>64.92.20</t>
  </si>
  <si>
    <t>Andre kreditinstitutters aktiviteter</t>
  </si>
  <si>
    <t>Branchen omfatter ydelse af lån for egen regning, som finansieres af midler fra offentligheden, undtagen indlån, der skal betales tilbage.</t>
  </si>
  <si>
    <t>64.92.30</t>
  </si>
  <si>
    <t>Andre kreditselskabers aktiviteter</t>
  </si>
  <si>
    <t>Branchen omfatter aktiviteter i forbindelse med ydelse af kredit til forbrugere og ikke-finansielle virksomheder, men indlån modtages ikke.</t>
  </si>
  <si>
    <t>64.99.10</t>
  </si>
  <si>
    <t>Investering for egen regning</t>
  </si>
  <si>
    <t>Branchen omfatter investering for egen regning, herunder pleje af egen formue, fx hvis tidligere økonomiske aktivitet er solgt fra.</t>
  </si>
  <si>
    <t>Formueforvaltning på honorar- eller kontraktbasis af andres midler henvises til 66.30.00.</t>
  </si>
  <si>
    <t>64.99.90</t>
  </si>
  <si>
    <t>Anden finansiel formidling i.a.n.</t>
  </si>
  <si>
    <t>Branchen omfatter finansielle tjenesteydelser, der primært vedrører distribution af midler på andre måder end långivning. Branchen omfatter også handel på finansmarkeder mv. for egen regning.</t>
  </si>
  <si>
    <t>65.11.00</t>
  </si>
  <si>
    <t>Livsforsikring</t>
  </si>
  <si>
    <t>Branchen omfatter tegning af livsforsikrings-, indkomst- og forsikringspolicer i tilfælde af død.</t>
  </si>
  <si>
    <t>65.12.00</t>
  </si>
  <si>
    <t>Anden forsikring</t>
  </si>
  <si>
    <t>Branchen omfatter forsikring af enhver art, der ikke er livsforsikring.</t>
  </si>
  <si>
    <t>Forsikringsagenter og -mægleres aktiviteter henvises til 66.22.00.</t>
  </si>
  <si>
    <t>65.20.00</t>
  </si>
  <si>
    <t>Genforsikring</t>
  </si>
  <si>
    <t>Branchen omfatter overtagelse af hele eller del af risikoen forbundet med forsikringspolicer, som er tegnet af andre forsikringsselskaber.</t>
  </si>
  <si>
    <t>65.30.10</t>
  </si>
  <si>
    <t>Pensionskassers aktiviteter</t>
  </si>
  <si>
    <t>Branchen omfatter pensionskassers aktiviteter, fx foreninger eller sammenslutninger, hvis formål er at udbetale pension efter ensartede regler til medlemmer, som er uddannet inden for bestemte uddannelsesområder eller er ansat i bestemte virksomheder.</t>
  </si>
  <si>
    <t>65.30.20</t>
  </si>
  <si>
    <t>Anden pensionsforsikring</t>
  </si>
  <si>
    <t>Branchen omfatter firmapensionskasser, som udbetaler pension på normale forsikringsvilkår.</t>
  </si>
  <si>
    <t>66.11.00</t>
  </si>
  <si>
    <t>Forvaltning af kapitalmarkeder</t>
  </si>
  <si>
    <t>Branchen omfatter tjenesteydelser tæt forbundet til kapitalmarkeder. Det kan være fysiske eller elektroniske markedspladser med henblik på at lette køb og salg af forskellige former for værdipapirer, fx vare- eller værdipapirbørser.</t>
  </si>
  <si>
    <t>66.12.00</t>
  </si>
  <si>
    <t>Værdipapir- og varemægling</t>
  </si>
  <si>
    <t>Branchen omfatter tjenesteydelser, primært udført af mæglere, tæt forbundet til handel med aktier, obligationer og varer for andre, fx fondsbørsmæglere, varebørsmæglere og valutahandlere.</t>
  </si>
  <si>
    <t>66.19.00</t>
  </si>
  <si>
    <t>Andre aktiviteter i forbindelse med finansielle tjenesteydelser, undtagen forsikring og pensionsforsikring</t>
  </si>
  <si>
    <t>Branchen omfatter behandling af finansielle transaktioner, fx kreditkorttransaktioner, samt investeringsrådgivning og realkreditmæglere.</t>
  </si>
  <si>
    <t>66.21.00</t>
  </si>
  <si>
    <t>Risiko- og skadesvurdering</t>
  </si>
  <si>
    <t>Branchen omfatter opgørelse af erstatning og administration for tredjepart.</t>
  </si>
  <si>
    <t>66.22.00</t>
  </si>
  <si>
    <t>Forsikringsagenters og forsikringsmægleres aktiviteter</t>
  </si>
  <si>
    <t>Branchen omfatter formidling af livrente-, forsikrings- og genforsikringspolicer.</t>
  </si>
  <si>
    <t>66.29.00</t>
  </si>
  <si>
    <t>Aktiviteter i forbindelse med forsikring og pensionsforsikring i.a.n.</t>
  </si>
  <si>
    <t>Branchen omfatter administration af bjærgning, aktuaraktiviteter og lignende tjenester, der er tæt forbundet med forsikring.</t>
  </si>
  <si>
    <t>66.30.00</t>
  </si>
  <si>
    <t>Formueforvaltning</t>
  </si>
  <si>
    <t>Branchen omfatter forvaltning af andres formue på kontrakt- eller honorarbasis.</t>
  </si>
  <si>
    <t>Forvaltning af egne midler henvises til 64.99.10 og 64.99.90.</t>
  </si>
  <si>
    <t>68.11.00</t>
  </si>
  <si>
    <t>Køb og salg af egen fast ejendom</t>
  </si>
  <si>
    <t>Branchen omfatter køb og salg af fast ejendom, fx beboelsesejendomme, boliger, erhvervsbygninger og jord samt udstykning heraf.</t>
  </si>
  <si>
    <t>Udstykning og modning af selvejet jord til senere salg henvises til 68.12.00.</t>
  </si>
  <si>
    <t>68.12.00</t>
  </si>
  <si>
    <t>Gennemførelse af byggeprojekter</t>
  </si>
  <si>
    <t>Branchen omfatter udvikling af byggeprojekter, til egne bolig- og erhvervsbygninger, ved at samle finansielle, tekniske og fysiske midler. Branchen omfatter også udstykning og modning af jord til senere salg.</t>
  </si>
  <si>
    <t>Opførelse af bygninger henvises til 41.00.00.</t>
  </si>
  <si>
    <t>68.20.10</t>
  </si>
  <si>
    <t>Udlejning af almennyttige boliger</t>
  </si>
  <si>
    <t>Branchen omfatter udlejning af almennyttige boliger, fx af selvejende boligselskaber.</t>
  </si>
  <si>
    <t>Forretningsførerselskaber henvises til 68.32.10 og private andelsboligforeninger til 68.20.20.</t>
  </si>
  <si>
    <t>68.20.20</t>
  </si>
  <si>
    <t>Udlejning af private andelsboliger</t>
  </si>
  <si>
    <t>Branchen omfatter udlejning af private andelsboliger.</t>
  </si>
  <si>
    <t>Udlejning af beskyttede boliger henvises til 87.30.20.</t>
  </si>
  <si>
    <t>68.20.30</t>
  </si>
  <si>
    <t>Anden udlejning af boliger</t>
  </si>
  <si>
    <t>Branchen omfatter udlejning af boliger inklusiv beboelsesejendomme, fx lejligheder, der er møblerede eller umøblerede, på årsbasis eller længere samt drift af pladser til beboelsesvogne som primær bolig. Branchen omfatter også udlejning af tage til installation af solceller eller reklamer.</t>
  </si>
  <si>
    <t>68.20.40</t>
  </si>
  <si>
    <t>Udlejning af erhvervsejendomme</t>
  </si>
  <si>
    <t>Branchen omfatter udlejning af erhversejendomme, fx kontor- og industribygninger, kontorhoteller, self storage-faciliteter mv. Branchen omfatter også gennemførelse af byggeprojekter med henblik på egen udlejning af erhvervsejendom.</t>
  </si>
  <si>
    <t>68.31.10</t>
  </si>
  <si>
    <t>Ejendomsmægleres aktiviteter</t>
  </si>
  <si>
    <t>Branchen omfatter formidling af køb og salg af fast ejendom.</t>
  </si>
  <si>
    <t>Juridiske aktiviteter henvises til 69.10.00.</t>
  </si>
  <si>
    <t>68.31.20</t>
  </si>
  <si>
    <t>Boliganvisning</t>
  </si>
  <si>
    <t>Branchen omfatter formidling af udlejning af boliger.</t>
  </si>
  <si>
    <t>68.32.10</t>
  </si>
  <si>
    <t>Administration af fast ejendom på kontraktbasis</t>
  </si>
  <si>
    <t>Branchen omfatter administration af fast ejendom, fx huslejeopkrævning, forvaltning og ejendomsvurdering.</t>
  </si>
  <si>
    <t>68.32.20</t>
  </si>
  <si>
    <t>Drift af ejerforeninger</t>
  </si>
  <si>
    <t>Branchen omfatter drift af ejerforeninger, fx ejerlejligheds-, grundejer- og kolonihaveforeninger.</t>
  </si>
  <si>
    <t>69.10.00</t>
  </si>
  <si>
    <t>Juridiske aktiviteter</t>
  </si>
  <si>
    <t>Branchen omfatter juridiske aktiviteter, der udøves af advokater, fx udfærdigelse af skøder, testamenter, notarer, fogeder og rådgivning. Juridiske mæglingsaktiviteter og beskikkede værger er også placeret her.</t>
  </si>
  <si>
    <t>Domstolenes aktiviteter henvises til 84.23.00.</t>
  </si>
  <si>
    <t>69.20.00</t>
  </si>
  <si>
    <t>Bogføring og revision; skatterådgivning</t>
  </si>
  <si>
    <t>Branchen omfatter bogføringsopgaver, udarbejdelse og revision af regnskaber, selvangivelser samt repræsentation over for skattemyndigheder.</t>
  </si>
  <si>
    <t>70.10.10</t>
  </si>
  <si>
    <t>Ikke-finansielle hovedsæders aktiviteter</t>
  </si>
  <si>
    <t>Branchen omfatter operationel kontrol eller styring, fx af ikke-finansielle koncernenheders daglige drift.</t>
  </si>
  <si>
    <t>70.10.20</t>
  </si>
  <si>
    <t>Finansielle hovedsæders aktiviteter</t>
  </si>
  <si>
    <t>Branchen omfatter operationel kontrol eller styring, fx af finansielle koncernenheders daglige drift.</t>
  </si>
  <si>
    <t>70.20.00</t>
  </si>
  <si>
    <t>Virksomhedsrådgivning og anden ledelsesrådgivning</t>
  </si>
  <si>
    <t>Branchen omfatter virksomhedsrådgivning og vejledning om bl.a. strategi, planlægning og udvikling.</t>
  </si>
  <si>
    <t>71.11.00</t>
  </si>
  <si>
    <t>Arkitektaktiviteter</t>
  </si>
  <si>
    <t>Branchen omfatter arkitektaktiviteter, fx bygningstegning, projekteringsarbejde og byplanlægning.</t>
  </si>
  <si>
    <t>71.12.10</t>
  </si>
  <si>
    <t>Rådgivende ingeniøraktiviteter inden for byggeri og anlægsarbejder</t>
  </si>
  <si>
    <t>Branchen omfatter rådgivende ingeniøraktiviteter inden for byggeri og anlægsarbejde, fx gennemarbejdning af og tilsyn med byggeprojekter, byggepladsingeniørarbejde og teknisk rådgivning samt udformning vedrørende naturbaseret infrastruktur.</t>
  </si>
  <si>
    <t>71.12.20</t>
  </si>
  <si>
    <t>Rådgivende ingeniøraktiviteter inden for produktions- og maskinteknik</t>
  </si>
  <si>
    <t>Branchen omfatter rådgivning inden for produktions- og maskinteknik, fx maskinteknik og teknisk rådgivning samt projektgennemgang og tilsyn med projekter.</t>
  </si>
  <si>
    <t>71.12.30</t>
  </si>
  <si>
    <t>Rådgivende ingeniøraktiviteter inden for færdige fabriksanlæg</t>
  </si>
  <si>
    <t>Branchen omfatter rådgivning og projektledelse ifm. levering og opstilling af færdige fabriksanlæg.</t>
  </si>
  <si>
    <t>71.12.40</t>
  </si>
  <si>
    <t>Geologiske undersøgelser og prospektering, landinspektører mv.</t>
  </si>
  <si>
    <t>Branchen omfatter rådgivning og undersøgelser på jorden, under jorden og i vand, fx landmålings- og landinspektionsaktiviteter og teknisk udformning samt rådgivning vedrørende geofysiske, geologiske og seismiske undersøgelser.</t>
  </si>
  <si>
    <t>71.12.90</t>
  </si>
  <si>
    <t>Anden teknisk rådgivning</t>
  </si>
  <si>
    <t>Branchen omfatter individuel rådgivning inden for sundhed og sikkerhed, cirkulær økonomi og miljøtekniske aktiviteter, fx energi- og varmekonsulentaktiviteter.</t>
  </si>
  <si>
    <t>71.20.10</t>
  </si>
  <si>
    <t>Kontrol af levnedsmidler</t>
  </si>
  <si>
    <t>Branchen omfatter kontrol og undersøgelser i forbindelse med levnedsmidler, fx dyrlægekontrol inden for fødevareproduktion.</t>
  </si>
  <si>
    <t>71.20.20</t>
  </si>
  <si>
    <t>Teknisk afprøvning og kontrol</t>
  </si>
  <si>
    <t>Branchen omfatter teknisk afprøvning og kontrol, fx fysisk, kemisk og anden analytisk afprøvning, typegodkendelse og drift af politilaboratorier.</t>
  </si>
  <si>
    <t>71.20.90</t>
  </si>
  <si>
    <t>Anden måling og teknisk analyse</t>
  </si>
  <si>
    <t>Branchen omfatter måling og teknisk analyse vedrørende bygningsberegninger og miljøteknik, fx måling af miljøindikatorer.</t>
  </si>
  <si>
    <t>72.10.00</t>
  </si>
  <si>
    <t>Forskning og eksperimentel udvikling inden for naturvidenskab og teknik</t>
  </si>
  <si>
    <t>Branchen omfatter forskning og eksperimentel udvikling inden for naturvidenskab og teknik, herunder grundforskning og anvendt forskning.</t>
  </si>
  <si>
    <t>72.20.00</t>
  </si>
  <si>
    <t>Forskning og eksperimentel udvikling inden for samfundsvidenskab og humanistiske videnskaber</t>
  </si>
  <si>
    <t>Branchen omfatter forskning og eksperimentel udvikling indenfor samfundsvidenskab og humanistiske videnskaber, herunder grundforskning og anvendt forskning.</t>
  </si>
  <si>
    <t>73.11.10</t>
  </si>
  <si>
    <t>Planlægning og design af reklamekampagner</t>
  </si>
  <si>
    <t>Branchen omfatter reklamebureauers aktiviteter og handlinger, fx planlægning af reklamekampagner og markedsføring.</t>
  </si>
  <si>
    <t>73.11.90</t>
  </si>
  <si>
    <t>Andre reklameaktiviteter</t>
  </si>
  <si>
    <t>Branchen omfatter synliggørelse af reklamer mhp. at fremme salg, fx opsætning af udendørs reklamer og vinduesudstillinger.</t>
  </si>
  <si>
    <t>73.12.00</t>
  </si>
  <si>
    <t>Indrykning af reklamer i medier</t>
  </si>
  <si>
    <t>Branchen omfatter salg eller gensalg af tid og plads i diverse medier, der tilbyder reklameplads, på kontrakt- eller honorarbasis. Branchen omfatter ikke et medies salg af egen reklameplads eller -tid.</t>
  </si>
  <si>
    <t>73.20.00</t>
  </si>
  <si>
    <t>Markedsanalyse og offentlig meningsmåling</t>
  </si>
  <si>
    <t>Branchen omfatter gennemførsel af markedsanalyser og offentlige meningsmålinger.</t>
  </si>
  <si>
    <t>73.30.00</t>
  </si>
  <si>
    <t>Public relations og kommunikation</t>
  </si>
  <si>
    <t>Branchen omfatter levering af rådgivning, vejledning og operationel bistand om public relations og kommunikation, inklusiv lobby-arbejde, til virksomheder, organisationer mv.</t>
  </si>
  <si>
    <t>74.11.00</t>
  </si>
  <si>
    <t>Industrielt design og modedesign</t>
  </si>
  <si>
    <t>Branchen omfatter industrielt design, eventuelt ved hjælp af specialiseret software, samt modedesign af fx sko, tekstiler og møbler.</t>
  </si>
  <si>
    <t>74.12.00</t>
  </si>
  <si>
    <t>Grafisk design og visuel kommunikation</t>
  </si>
  <si>
    <t>Branchen omfatter design og visuel kommunikation, fx grafiske designeres aktiviteter og kommunikationsdesigneres aktiviteter.</t>
  </si>
  <si>
    <t>74.13.00</t>
  </si>
  <si>
    <t>Indretningsaktiviteter</t>
  </si>
  <si>
    <t>Branchen omfatter rådgivning af indretningsarkitekter og rumdesignere om samt specifikation af indretningsarbejder i private hjem, virksomheder og institutioner.</t>
  </si>
  <si>
    <t>74.14.00</t>
  </si>
  <si>
    <t>Andet specialiseret designarbejde</t>
  </si>
  <si>
    <t>Branchen omfatter specialiseret designarbejde, som ikke er klassificeret andre steder.</t>
  </si>
  <si>
    <t>74.20.00</t>
  </si>
  <si>
    <t>Fotografiske aktiviteter</t>
  </si>
  <si>
    <t>Branchen omfatter alle former for fotografering samt fremkaldelse og bearbejdning af billeder.</t>
  </si>
  <si>
    <t>74.30.00</t>
  </si>
  <si>
    <t>Oversættelse og tolkning</t>
  </si>
  <si>
    <t>Branchen omfatter både mundtlig og skriftlig oversættelse og tolkning.</t>
  </si>
  <si>
    <t>74.91.00</t>
  </si>
  <si>
    <t>Patentbureauers aktiviteter og tjenesteydelser i forbindelse med markedsføring</t>
  </si>
  <si>
    <t>Branchen omfatter forvaltning af ophavsrettigheder, industrielle ejendomsrettigheder (patenter, licenser, varemærker, franchises mv.) og intellektuelle ejendomsrettigheder samt handel med disse.</t>
  </si>
  <si>
    <t>74.99.10</t>
  </si>
  <si>
    <t>Landbrugskonsulenters aktiviteter</t>
  </si>
  <si>
    <t>Branchen omfatter rådgivning vedrørende landbrugsdrift og aktiviteter i kontrol- og avlsforeninger.</t>
  </si>
  <si>
    <t>74.99.90</t>
  </si>
  <si>
    <t>Andre liberale, videnskabelige og tekniske tjenesteydelser i.a.n.</t>
  </si>
  <si>
    <t>Branchen omfatter andre liberale, videnskabelige og tekniske tjenesteydelser, fx miljøkonsulent-, erhvervsagentaktiviteter og tjenester vedr. byggeomkostninger.</t>
  </si>
  <si>
    <t>Konsulentaktiviteter med fokus på virksomheds- og ledelsesrådgivning henvises til 70.20.00.</t>
  </si>
  <si>
    <t>75.00.00</t>
  </si>
  <si>
    <t>Dyrlægeaktiviteter</t>
  </si>
  <si>
    <t>Branchen omfatter sundhedspleje for husdyr og kæledyr samt ambulancetransport af dyr. Tandpleje for dyr er også omfattet.</t>
  </si>
  <si>
    <t>77.11.00</t>
  </si>
  <si>
    <t>Udlejning og leasing af biler og lette motorkøretøjer</t>
  </si>
  <si>
    <t>Branchen omfatter udlejning og leasing af køretøjer (på højst 3,5 ton) uden fører.</t>
  </si>
  <si>
    <t>Udlejning eller leasing med fører henvises til 49.33.00.</t>
  </si>
  <si>
    <t>77.12.00</t>
  </si>
  <si>
    <t>Udlejning og leasing af lastbiler</t>
  </si>
  <si>
    <t>Branchen omfatter udlejning og leasing af køretøjer over 3,5 ton.</t>
  </si>
  <si>
    <t>Udlejning og leasing af køretøjer med fører henvises til 49.41.00 eller 49.42.00.</t>
  </si>
  <si>
    <t>77.21.00</t>
  </si>
  <si>
    <t>Udlejning og leasing af varer til fritid og sport</t>
  </si>
  <si>
    <t>Branchen omfatter primært korttidsudlejning af varer til fritid og sport, fx cykler, heste, sejlbåde og lystbåde uden mandskab mv.</t>
  </si>
  <si>
    <t>Udlejning af lystbåde og sejlbåde med mandskab henvises til 50.10.00 og 50.30.00.</t>
  </si>
  <si>
    <t>77.22.00</t>
  </si>
  <si>
    <t>Udlejning og leasing af andre varer til personlig brug og husholdningsbrug</t>
  </si>
  <si>
    <t>Branchen omfatter udlejning og leasing af alle typer af varer til husholdningsbrug og personlig brug til husholdninger eller virksomheder, fx bøger, beklædning, møbler, smykker, maskineri, elektronisk udstyr mv.</t>
  </si>
  <si>
    <t>77.31.00</t>
  </si>
  <si>
    <t>Udlejning og leasing af landbrugsmaskiner og -udstyr</t>
  </si>
  <si>
    <t>Branchen omfatter udlejning og leasing af landbrugs- og skovbrugsmaskiner og -udstyr.</t>
  </si>
  <si>
    <t>Udlejning med fører henvises til 01.61.00 eller 02.40.00.</t>
  </si>
  <si>
    <t>77.32.00</t>
  </si>
  <si>
    <t>Udlejning og leasing af entreprenørmateriel</t>
  </si>
  <si>
    <t>Branchen omfatter udlejning og leasing af entreprenørmateriel og -udstyr uden betjeningspersonale, fx stilladser og kranvogne.</t>
  </si>
  <si>
    <t>Udlejning af entreprenørmateriale med fører henvises til hovedgruppe 43.</t>
  </si>
  <si>
    <t>77.33.00</t>
  </si>
  <si>
    <t>Udlejning og leasing af kontormaskiner og -udstyr og computere</t>
  </si>
  <si>
    <t>Branchen omfatter udlejning og leasing af kontormaskiner og -udstyr, fx computere, kopimaskiner, kasseapparater og kontormøbler.</t>
  </si>
  <si>
    <t>77.34.00</t>
  </si>
  <si>
    <t>Udlejning og leasing af skibe og både</t>
  </si>
  <si>
    <t>Branchen omfatter udlejning og leasing af skibe og både uden fører.</t>
  </si>
  <si>
    <t>Udlejning af skibe og både med fører henvises til hovedgruppe 50.</t>
  </si>
  <si>
    <t>77.35.00</t>
  </si>
  <si>
    <t>Udlejning og leasing af luftfartøjer</t>
  </si>
  <si>
    <t>Branchen omfatter udlejning og leasing af luftfartøjer uden fører.</t>
  </si>
  <si>
    <t>Udlejning af luftfartøjer med fører henvises til hovedgruppe 51.</t>
  </si>
  <si>
    <t>77.39.10</t>
  </si>
  <si>
    <t>Udlejning og leasing af andet materiel, udstyr og andre materielle aktiver til events</t>
  </si>
  <si>
    <t>Branchen omfatter udlejning og operationel leasing af materiel og udstyr, fx professionelt lys- og lydudstyr, uden operatører, til arrangører af fx sportsarrangementer, koncerter, konferencer og messer.</t>
  </si>
  <si>
    <t>77.39.90</t>
  </si>
  <si>
    <t>Udlejning og leasing af andet materiel, udstyr og andre materielle aktiver, bortset fra til events</t>
  </si>
  <si>
    <t>Branchen omfatter udlejning og leasing af andet materiel og udstyr uden operatører.</t>
  </si>
  <si>
    <t>Udlejning og leasing af andet materiel og udstyr (uden operatører) til arrangører af events henvises til 77.39.10.</t>
  </si>
  <si>
    <t>77.40.00</t>
  </si>
  <si>
    <t>Leasing af intellektuelle ejendomsrettigheder og lignende produkter, dog ikke ophavsretsbeskyttede værker</t>
  </si>
  <si>
    <t>Branchen omfatter leasing af intellektuelle ejendomsrettigheder og lignende produkter, fx patenterede enheder, brands og franchiseaftaler. Branchen omfatter også modtagelse af royalties eller licensafgifter.</t>
  </si>
  <si>
    <t>Anskaffelse af rettigheder og publicering henvises til hovedgruppe 58 og 59.</t>
  </si>
  <si>
    <t>77.51.00</t>
  </si>
  <si>
    <t>Formidlingsaktiviteter inden for udlejning og leasing af biler, autocampere og påhængsvogne</t>
  </si>
  <si>
    <t>Branchen omfatter formidling af udlejning og leasing af biler, autocampere og påhængsvogne.</t>
  </si>
  <si>
    <t>77.52.00</t>
  </si>
  <si>
    <t>Formidlingsaktiviteter inden for udlejning og leasing af andre materielle aktiver og ikke-finansielle immaterielle aktiver</t>
  </si>
  <si>
    <t>Branchen omfatter formidling mellem husholdninger, som vil udleje eller leje materielle aktiver, fx plæneklippere, stiger og cykler.</t>
  </si>
  <si>
    <t>78.10.00</t>
  </si>
  <si>
    <t>Arbejdsformidlingskontorers aktiviteter</t>
  </si>
  <si>
    <t>Branchen omfatter alle typer af arbejdsformidling, fx rekruttering, casting og internetbaseret arbejdsformidling.</t>
  </si>
  <si>
    <t>78.20.00</t>
  </si>
  <si>
    <t>Vikarbureauers aktiviteter og anden personaleformidling</t>
  </si>
  <si>
    <t>Branchen omfatter formidling af vikarer, der midlertidigt supplerer eller erstatter en kundens arbejdsstyrke. Vikarbureaut er arbejdsgiver for de pågældende arbejdstagere.</t>
  </si>
  <si>
    <t>79.11.00</t>
  </si>
  <si>
    <t>Rejsebureauers aktiviteter</t>
  </si>
  <si>
    <t>Branchen omfatter bureauer, der hovedsagligt sælger pakkerejser til private og erhvervskunder. Branchen omfatter også formidling af pakkerejsetilbud på destinationen.</t>
  </si>
  <si>
    <t>79.12.00</t>
  </si>
  <si>
    <t>Rejsearrangørers aktiviteter</t>
  </si>
  <si>
    <t>Branchen omfatter arrangering og tilrettelæggelse af pakkerejser eller ydelser i denne, der sælges igennem rejsebureauer eller direkte af rejsearrangører.</t>
  </si>
  <si>
    <t>Pakkerejser inkluderer normalt passager- og bagagetransport, indkvartering, mad og sightseeingtjenester. Rejsearrangører beskæftiger sig med driften af ??rejsepakker, der sælges af rejsebureauer, herunder at arrangere og samling af forskellige tjenester i pakkerejsen.</t>
  </si>
  <si>
    <t>Rejsearrangører kan være ansat eller have indgået kontrakt med et rejsebureau, eller de kan fungere som uafhængige rejsearrangører.</t>
  </si>
  <si>
    <t>79.90.00</t>
  </si>
  <si>
    <t>Andre reservationstjenesteydelser og tjenesteydelser i forbindelse hermed</t>
  </si>
  <si>
    <t>Branchen omfatter reservationstjenesteydelser og tjenesteydelser i forbindelse med hjælp og vejledning til besøgende, fx levering af rejseinformation til besøgende og turistguideaktiviteter.</t>
  </si>
  <si>
    <t>80.01.00</t>
  </si>
  <si>
    <t>Efterforskning og private vagt- og sikkerhedsaktiviteter</t>
  </si>
  <si>
    <t>Branchen omfatter private virksomheders udbud af vagt- og sikkerhedstjenester, fx detektivvirksomhed og vagt- og sikkerhedskontrol. Branchen omfatter også bagagekontrol.</t>
  </si>
  <si>
    <t>Risikoanalyse, sikkerhedsrådgivning og -konsulentaktiviteter henvises til 80.09.00.</t>
  </si>
  <si>
    <t>80.09.00</t>
  </si>
  <si>
    <t>Vagt- og sikkerhedsaktiviteter i.a.n.</t>
  </si>
  <si>
    <t>Branchen omfatter private virksomheders udbud af overvågning og fjernovervågningstjenester, herunder installation og vedligeholdelse af elektroniske sikkerhedsalarmsystemer, fx tyveri- og brandalarmer, hvis det er i forbindelse med senere overvågning.</t>
  </si>
  <si>
    <t>Installation af elektroniske låseanordninger og sikkerhedssystemer, uden overvågningsydelser, henvises til 43.21.00, hvorimod installation af mekaniske låseanordninger henvises til 43.24.00. Detailhandel med elektriske eller mekaniske sikkerhedssystemer og låseanordninger, uden installation eller vedligeholdelse, henvises til 47.52.20.</t>
  </si>
  <si>
    <t>81.10.00</t>
  </si>
  <si>
    <t>Levering af kombinerede hjælpetjenester i forbindelse med drift af fast ejendom</t>
  </si>
  <si>
    <t>Branchen omfatter levering af en kombination af driftsopgaver på en kundes ejendom, fx indvendig rengøring, vedligeholdelse, bortskaffelse af affald, dørmænd, handyman, reception og vaskeri.</t>
  </si>
  <si>
    <t>81.21.00</t>
  </si>
  <si>
    <t>Almindelig rengøring i bygninger</t>
  </si>
  <si>
    <t>Branchen omfatter almindelig rengøring i bygninger af enhver art, fx kontorer, private boliger, fabrikker og institutioner.</t>
  </si>
  <si>
    <t>81.22.10</t>
  </si>
  <si>
    <t>Vinduespolering</t>
  </si>
  <si>
    <t>Branchen omfatter vinduespudsning og -polering.</t>
  </si>
  <si>
    <t>81.22.20</t>
  </si>
  <si>
    <t>Skorstensfejning</t>
  </si>
  <si>
    <t>Branchen omfatter skorstensfejning og rensning af pejse, ovne mv.</t>
  </si>
  <si>
    <t>81.22.90</t>
  </si>
  <si>
    <t>Anden rengøring af bygninger og rengøring af erhvervslokaler i.a.n.</t>
  </si>
  <si>
    <t>Branchen omfatter specialiseret rengøring af bygninger og industrimaskiner, fx udvendig rengøring og rengøring af industrimaskiner.</t>
  </si>
  <si>
    <t>81.23.00</t>
  </si>
  <si>
    <t>Anden rengøring</t>
  </si>
  <si>
    <t>Branchen omfatter anden rengøring, ikke relateret til bygninger og inventar, fx rengøring af svømmebassiner, transportmidler, gadefejning og flaskerensning.</t>
  </si>
  <si>
    <t>81.30.00</t>
  </si>
  <si>
    <t>Landskabspleje</t>
  </si>
  <si>
    <t>Branchen omfatter landskabspleje, fx plantning og pleje af parker og haver, beskyttelse og gendannelse af landskab og miljøteknisk anlægsarbejder. Branchen omfatter også naturgenopretning og miljøforvaltning, fx beskyttelses- og vedligeholdelsesforanstaltninger for klitter og vadeområder.</t>
  </si>
  <si>
    <t>82.10.00</t>
  </si>
  <si>
    <t>Administrations- og kontorserviceaktiviteter</t>
  </si>
  <si>
    <t>Branchen omfatter en kombination af daglige administrative kontorfunktioner, fx reception, økonomiplanlægning, fakturering og bogføring, personale og posttjenester for andre, på kontrakt- eller honorarbasis.</t>
  </si>
  <si>
    <t>82.20.00</t>
  </si>
  <si>
    <t>Drift af callcentre</t>
  </si>
  <si>
    <t>Branchen omfatter drift af callcentre for ind- og/eller udgående opkald samt webkontaktcentre. Branchen omfatter også håndtering af kundeklager eller henvendelser via andre kommunikationskanaler.</t>
  </si>
  <si>
    <t>82.30.00</t>
  </si>
  <si>
    <t>Organisering af kongresser, messer og udstillinger</t>
  </si>
  <si>
    <t>Branchen omfatter organisering af kongresser, messer og udstillinger samt personalehåndtering og bemanding af faciliteterne på stedet, hvis det sker i forbindelse med organisering, promovering og styring af disse events. Organisering af firmaevents, seminarer og workshops er også omfattet.</t>
  </si>
  <si>
    <t>82.40.00</t>
  </si>
  <si>
    <t>Formidlingsaktiviteter inden for forretningsservice i.a.n.</t>
  </si>
  <si>
    <t>Branchen omfatter formidlingsaktiviteter inden for forretningsservice ved at bringe kunder og serviceudbydere sammen for et honorar eller provision, fx reservationsservices for billetter til kulturelle events inden for fx sport, teater og anden underholdning.</t>
  </si>
  <si>
    <t>82.91.00</t>
  </si>
  <si>
    <t>Inkassoaktiviteter og kreditoplysning</t>
  </si>
  <si>
    <t>Branchen omfatter opkrævning af betalinger samt indhentning af oplysninger om enkeltpersoner eller virksomheders kreditværdighed til andre virksomheder.</t>
  </si>
  <si>
    <t>82.92.00</t>
  </si>
  <si>
    <t>Pakkeriaktiviteter</t>
  </si>
  <si>
    <t>Branchen omfatter pakning uanset type eller metode på honorar eller kontraktbasis.</t>
  </si>
  <si>
    <t>82.99.00</t>
  </si>
  <si>
    <t>Andre forretningsserviceaktiviteter i.a.n.</t>
  </si>
  <si>
    <t>Branchen omfatter forretningsservices, der ikke er nævnt andetsteds i hovedgruppe 82, herunder håndtering af visum, arbejdstilladelser, fundraising, crowdfunding, stregkodning mv.</t>
  </si>
  <si>
    <t>84.11.00</t>
  </si>
  <si>
    <t>Generelle offentlige forvaltningsaktiviteter</t>
  </si>
  <si>
    <t>Branchen omfatter generel offentlig administration af ministerier, styrelser, regioner og kommuner, fx administration af love, bekendtgørelser, skatteordninger, told mv.</t>
  </si>
  <si>
    <t>84.12.00</t>
  </si>
  <si>
    <t>Administration af sundhedsvæsen, undervisning, kultur og sociale forhold</t>
  </si>
  <si>
    <t>Branchen omfatter offentlig administration af sundhedsvæsen, undervisning, kultur og sociale forhold.</t>
  </si>
  <si>
    <t>84.13.00</t>
  </si>
  <si>
    <t>Administration af og bidrag til erhvervsfremme</t>
  </si>
  <si>
    <t>Branchen omfatter administration af aktiviteter og bidrag til erhvervsfremme, herunder regulering og tildeling af støtte til forskellige økonomiske sektorer.</t>
  </si>
  <si>
    <t>84.21.00</t>
  </si>
  <si>
    <t>Udenrigsanliggender</t>
  </si>
  <si>
    <t>Branchen omfatter alle typer af anliggender, som staten formidler ud over de nationale grænser, uanset om det er bistand, kultur, militær eller diplomati.</t>
  </si>
  <si>
    <t>84.22.00</t>
  </si>
  <si>
    <t>Aktiviteter inden for forsvar</t>
  </si>
  <si>
    <t>Branchen omfatter administration, tilsyn og aktiviteter relateret til militære anliggender og hær, flåde, flyvevåben og rumforsvarsstyrker, bortset fra undervisning på militærets skoler.</t>
  </si>
  <si>
    <t>84.23.00</t>
  </si>
  <si>
    <t>Aktiviteter inden for retsvæsen</t>
  </si>
  <si>
    <t>Branchen omfatter administration og drift af forvaltnings-, civile og strafferetsdomstole, militærdomstole og retsplejesystemet. Branchen omfatter også kriminalforsorgen, herunder fængsler og arresthuse.</t>
  </si>
  <si>
    <t>84.24.00</t>
  </si>
  <si>
    <t>Aktiviteter inden for offentlig sikkerhed og orden</t>
  </si>
  <si>
    <t>Branchen omfatter administration og drift af politi, fx havnepoliti, grænsepoliti, kystvagt mv.</t>
  </si>
  <si>
    <t>84.25.00</t>
  </si>
  <si>
    <t>Aktiviteter inden for brandvæsen</t>
  </si>
  <si>
    <t>Branchen omfatter brandbekæmpelse og brandforebyggende foranstaltninger udført af de regulære brandkorps og hjælpekorps.</t>
  </si>
  <si>
    <t>84.30.00</t>
  </si>
  <si>
    <t>Aktiviteter inden for lovpligtig socialsikring</t>
  </si>
  <si>
    <t>Branchen omfatter finansiering og administration af statslige ordninger til social sikring.</t>
  </si>
  <si>
    <t>85.10.00</t>
  </si>
  <si>
    <t>Førskoleundervisning</t>
  </si>
  <si>
    <t>Branchen omfatter de tidlige stadier af organiseret undervisning og er indbygget i 0. klasse.</t>
  </si>
  <si>
    <t>85.20.10</t>
  </si>
  <si>
    <t>Undervisning på almene grundskoler</t>
  </si>
  <si>
    <t>Branchen omfatter undervisning (0-10. klasse) på almene grundskoler, fx folkeskoler, privatskoler og friskoler. Branchen omfatter også skoler med afdelinger på forskellige adresser.</t>
  </si>
  <si>
    <t>85.20.20</t>
  </si>
  <si>
    <t>Undervisning på specialskoler for børn med funktionsnedsættelser</t>
  </si>
  <si>
    <t>Branchen omfatter undervisning på specialskoler for børn, unge og voksne med fysiske eller psykiske funktionsnedsættelser.</t>
  </si>
  <si>
    <t>85.31.10</t>
  </si>
  <si>
    <t>Undervisning på ungdoms- og efterskoler</t>
  </si>
  <si>
    <t>Branchen omfatter undervisning på ungdoms- og efterskoler, herunder særligt tilrettelagt undervisning og skoler, der starter ved 7. skoleår eller senere.</t>
  </si>
  <si>
    <t>85.31.20</t>
  </si>
  <si>
    <t>Undervisning på gymnasier, studenter- og HF-kurser</t>
  </si>
  <si>
    <t>Branchen omfatter undervisning, der giver adgang til videregående uddannelser, fx gymnasier og HF-kurser.</t>
  </si>
  <si>
    <t>85.32.00</t>
  </si>
  <si>
    <t>Undervisning på erhvervsfaglige skoler</t>
  </si>
  <si>
    <t>Branchen omfatter undervisning på både adgangsgivende og praktiske uddannelser. Branchen omfatter bl.a. erhvervsgymnasier og husholdnings- og søfartsskoler.</t>
  </si>
  <si>
    <t>85.33.00</t>
  </si>
  <si>
    <t>Videregående uddannelse, ikke på universitetsniveau</t>
  </si>
  <si>
    <t>Branchen omfatter undervisning på videregående uddannelser, som ikke er på universitetsniveau.</t>
  </si>
  <si>
    <t>85.40.00</t>
  </si>
  <si>
    <t>Videregående uddannelse på universitetsniveau</t>
  </si>
  <si>
    <t>Branchen omfatter undervisning på videregående uddannelser på universitetsniveau, fx bachelor- og kandidatuddannelser.</t>
  </si>
  <si>
    <t>85.51.00</t>
  </si>
  <si>
    <t>Undervisning inden for sport og fritid</t>
  </si>
  <si>
    <t>Branchen omfatter undervisning inden for sport og fritid, der er formelt tilrettelagt. Undervisningen kan foregå under mange forskellige rammer, fx på kundens træningsfaciliteter, på uddannelsesinstitutioner eller andet, herunder på internettet. Undervisningen kan afsluttes med en eksamen, men denne er ikke kompetencegivende, dvs. ingen ECTS-point. Aktiviteter udført af professionelle sportsinstruktører, -lærere og -trænere/coaches er også omfattet.</t>
  </si>
  <si>
    <t>Undervisning i fitnessklubber, yogastudier og lignende faciliteter henvises til 93.13.00 og træning i sportsklubber henvises til 93.12.00.</t>
  </si>
  <si>
    <t>85.52.00</t>
  </si>
  <si>
    <t>Undervisning i kulturelle discipliner</t>
  </si>
  <si>
    <t>Branchen omfatter undervisning i kulturelle discipliner som kunst, drama og musik, der er formelt tilrettelagt og hovedsaglig til hobby-, fritids- eller selvudviklingsformål uden kompetencegivende eksamen, dvs. ingen ECTS-point. Undervisningen kan tilbydes på skoler, danseskoler, aftenskoler mv.</t>
  </si>
  <si>
    <t>85.53.00</t>
  </si>
  <si>
    <t>Drift af køreskoler</t>
  </si>
  <si>
    <t>Branchen omfatter undervisning i at føre bil, fly eller båd til privat brug.</t>
  </si>
  <si>
    <t>85.59.00</t>
  </si>
  <si>
    <t>Anden undervisning i.a.n.</t>
  </si>
  <si>
    <t>Branchen omfatter anden undervisning, fx privatundervisning, undervisning der ikke kan niveau-bestemmes, computerkurser mv.</t>
  </si>
  <si>
    <t>85.61.00</t>
  </si>
  <si>
    <t>Formidlingsaktiviteter i forbindelse med kurser og undervisere</t>
  </si>
  <si>
    <t>Branchen omfatter formidlingsaktiviteter af services til kurser og undervisere ved at bringe kunder og udbydere sammen.</t>
  </si>
  <si>
    <t>85.69.00</t>
  </si>
  <si>
    <t>Levering af hjælpeydelser i forbindelse med undervisning i.a.n.</t>
  </si>
  <si>
    <t>Branchen omfatter hjælpeydelser i forbindelse med undervisning, fx uddannelsesrådgivning, studievejledning og tilrettelæggelse af studenterudvekslingsprogrammer.</t>
  </si>
  <si>
    <t>86.10.00</t>
  </si>
  <si>
    <t>Aktiviteter inden for hospitalsvæsen</t>
  </si>
  <si>
    <t>Branchen omfatter drift af hospitaler og klinikker med diagnosticering, kort eller langvarig læge- og medicinsk behandling samt sygepleje og andre sundhedsydelser. Branchen omfatter også psykiatriske hospitaler.</t>
  </si>
  <si>
    <t>Billeddiagnostiske undersøgelser og medicinske laboratorieaktiviteter, som ikke er del af hospitalsvæsenet, henvises til 86.91.00.</t>
  </si>
  <si>
    <t>86.21.00</t>
  </si>
  <si>
    <t>Alment praktiserende lægers aktiviteter</t>
  </si>
  <si>
    <t>Branchen omfatter konsultation og behandling udført af alment praktiserende læger og vagtlæger, hvad enten det foregår i individuel praksis, i lægehuse eller patientens hjem. Der skelnes ikke mellem private og offentlige læger.</t>
  </si>
  <si>
    <t>Lægeaktiviteter med andre specialer end almen medicin henvises til 86.22.00 og hospitalsaktiviteter i forhold til indlagte patienter henvises til 86.10.00.</t>
  </si>
  <si>
    <t>86.22.00</t>
  </si>
  <si>
    <t>Speciallægers aktiviteter</t>
  </si>
  <si>
    <t>Branchen omfatter speciallægers aktiviteter, fx fertilitetsklinikker, kosmetisk kirurgi, strålebehandling, vaccinationscentre og psykiatere.</t>
  </si>
  <si>
    <t>Psykoterapeuters aktiviteter henvises til 86.93.00.</t>
  </si>
  <si>
    <t>86.23.00</t>
  </si>
  <si>
    <t>Tandlægers aktiviteter</t>
  </si>
  <si>
    <t>Branchen omfatter både almindelig og specialiseret tandlægebehandling, herunder tandregulering og tandlægearbejde på operationsstuer.</t>
  </si>
  <si>
    <t>Fremstilling af kunstige tænder eller tandproteser henvises til 32.50.00 og aktiviteter udført af tandlægeassistenter, fx tandplejere og klinikassistenter, henvises til 86.99.00.</t>
  </si>
  <si>
    <t>86.91.00</t>
  </si>
  <si>
    <t>Billeddiagnostiske undersøgelser og medicinske laboratorieaktiviteter</t>
  </si>
  <si>
    <t>Branchen omfatter billeddiagnostiske undersøgelser og medicinske laboratorieaktiviteter samt laboratorieaktiviteter til dopingkontrol.</t>
  </si>
  <si>
    <t>Lægefaglig analyse og fortolkning af billeddiagnostisk materiale (røntgen, elektrokardiogrammer, endoskopier mv.) henvises til 86.22.00.</t>
  </si>
  <si>
    <t>86.92.00</t>
  </si>
  <si>
    <t>Patienttransport med ambulance</t>
  </si>
  <si>
    <t>Branchen omfatter patienttransport med ambulance samt specialtransport af patienter med ledsagelse af paramedicinere.</t>
  </si>
  <si>
    <t>86.93.00</t>
  </si>
  <si>
    <t>Psykologisk og psykoterapeutisk rådgivning</t>
  </si>
  <si>
    <t>Branchen omfatter konsultation og behandling udført af psykologer, sundhedspsykologer og psykoterapeuter.</t>
  </si>
  <si>
    <t>Psykiateres aktiviteter henvises til 86.22.00.</t>
  </si>
  <si>
    <t>86.94.00</t>
  </si>
  <si>
    <t>Sundhedspleje, hjemmesygepleje, jordemoderaktiviteter mv.</t>
  </si>
  <si>
    <t>Branchen omfatter ydelser udført af uafhængige sygeplejersker i egne konsultationslokaler eller i patienternes hjem, herunder også fødeklinikker uden permanent lægetilsyn.</t>
  </si>
  <si>
    <t>Hjemmepleje henvises til 88.10.10.</t>
  </si>
  <si>
    <t>86.95.00</t>
  </si>
  <si>
    <t>Fysio- og ergoterapi</t>
  </si>
  <si>
    <t>Branchen omfatter fysio- og ergoterapi udført af lægefaglige behandlere.</t>
  </si>
  <si>
    <t>Osteopat-, kiropraktor- og akupunktøraktiviteter henvises til 86.96.00. Sportsmassage og andre kropsbehandlingsteknikker henvises til 86.99.00. Ikke-lægefaglig massage henvises til 96.23.00.</t>
  </si>
  <si>
    <t>86.96.00</t>
  </si>
  <si>
    <t>Traditionelle, komplementære og alternative behandlingsformer</t>
  </si>
  <si>
    <t>Branchen omfatter traditionelle, komplementære og alternative behandlingsformer, fx traditionel kinesisk urtemedicin, aromaterapi, osteopati, zoneterapi og hypnoterapi.</t>
  </si>
  <si>
    <t>Kropsbehandlingsteknikker som fx sportsmassage, shiatsu, thaimassage og watsu henvises til 86.99.00. Ikke-lægefaglig massage henvises til 96.23.00.</t>
  </si>
  <si>
    <t>86.97.00</t>
  </si>
  <si>
    <t>Formidlingsaktiviteter inden for læge- og tandlægeaktiviteter samt sundhedsvæsen i øvrigt</t>
  </si>
  <si>
    <t>Branchen omfatter formidlingsaktiviteter inden for læge- og tandlægearbejde og sundhedsvæsen i øvrigt.</t>
  </si>
  <si>
    <t>Formidlingsaktiviteter i forbindelse med institutionsophold henvises til 87.91.00.</t>
  </si>
  <si>
    <t>86.99.00</t>
  </si>
  <si>
    <t>Drift af sundhedsvæsen i øvrigt i.a.n.</t>
  </si>
  <si>
    <t>Branchen omfatter drift af sundhedsvæsen i øvrigt, fx optometri, taleterapi, fodterapi, fodpleje, diætister, hudterapeuter og thaimassage. En række forskellige ""banker"", fx blodbanker, banker for transplantationsorganer, vævsbanker mv. Sundhedsrelateret overvågning er også omfattet.</t>
  </si>
  <si>
    <t>Fysio- og ergoterapi henvises til 86.95.00. Osteopat-, kiropraktor- og akupunktøraktiviteter henvises til 86.96.00. Ikke-lægefaglige massøraktiviteter, der primært har fokus på velvære, afslapning og generel muskelafspænding, henvises til 96.23.00.</t>
  </si>
  <si>
    <t>87.10.10</t>
  </si>
  <si>
    <t>Drift af plejehjem</t>
  </si>
  <si>
    <t>Branchen omfatter drift af plejehjem for ældre med sygepleje.</t>
  </si>
  <si>
    <t>87.10.20</t>
  </si>
  <si>
    <t>Institutionsophold med sygepleje i.a.n.</t>
  </si>
  <si>
    <t>Branchen omfatter bl.a. rekreationshjem, som ikke er psykiatriske hospitaler eller misbrugsafvænningsklinikker, hvilehjem med sygepleje og hospicer, herunder for hospitalspatienter til palliativ behandling.</t>
  </si>
  <si>
    <t>Palliativ behandling og pleje for ambulante patienter henvises til 86.94.00.</t>
  </si>
  <si>
    <t>87.20.10</t>
  </si>
  <si>
    <t>Drift af døgninstitutioner for personer med psykiske handicap</t>
  </si>
  <si>
    <t>Branchen omfatter bl.a. rekreationshjem for psykisk syge, bofællesskaber for personer med følelsesmæssige problemer og plejeboliger for personer med diagnosticeret psykisk funktionsnedsættelse.</t>
  </si>
  <si>
    <t>87.20.20</t>
  </si>
  <si>
    <t>Drift af behandlingshjem for stofmisbrugere og alkoholskadede</t>
  </si>
  <si>
    <t>Branchen omfatter behandlingssteder, fx for behandling af alkohol- eller stofmisbrug.</t>
  </si>
  <si>
    <t>87.30.10</t>
  </si>
  <si>
    <t>Drift af døgninstitutioner for personer med fysisk handicap</t>
  </si>
  <si>
    <t>Branchen omfatter drift af døgninstitutioner for personer med fysiske handicap, som ikke er i stand til at tage fuldt vare på dem selv og/eller som ikke ønsker at bo alene.</t>
  </si>
  <si>
    <t>87.30.20</t>
  </si>
  <si>
    <t>Drift af beskyttede boliger o. lign.</t>
  </si>
  <si>
    <t>Branchen omfatter drift af beskyttede boliger, fx plejeboliger, seniorbofællesskaber med pleje, plejehjem for ældre med minimalt behov for sygepleje samt hvilehjem uden sygepleje.</t>
  </si>
  <si>
    <t>Institutionsophold med sygepleje for ældre henvises til gruppe 87.10.10.</t>
  </si>
  <si>
    <t>87.91.00</t>
  </si>
  <si>
    <t>Formidlingsaktiviteter i forbindelse med institutionsophold</t>
  </si>
  <si>
    <t>Branchen omfatter formidlingsaktiviteter inden for institutionsophold.</t>
  </si>
  <si>
    <t>87.99.10</t>
  </si>
  <si>
    <t>Drift af døgninstitutioner for børn og unge</t>
  </si>
  <si>
    <t>Branchen omfatter drift af bl.a. spædbørnshjem, børnehjem, skolehjem, ungdomshjem og -pensioner samt svangre- og mødrehjem.</t>
  </si>
  <si>
    <t>Pasningsordninger for børn henvises til undergruppe 88.91.</t>
  </si>
  <si>
    <t>87.99.20</t>
  </si>
  <si>
    <t>Familiepleje</t>
  </si>
  <si>
    <t>Branchen omfatter døgnpleje af børn og unge eller personer med vidtgående fysiske eller psykiske handicap anbragt i private hjem i henhold til kontakt med offentlige myndigheder.</t>
  </si>
  <si>
    <t>Hjemmepleje for personer med psykiske funktionsnedsættelser henvises til 87.20.10.</t>
  </si>
  <si>
    <t>87.99.30</t>
  </si>
  <si>
    <t>Drift af flygtninge- og asylcentre</t>
  </si>
  <si>
    <t>Branchen omfatter indkvartering af katastrofeofre, flygtninge og indvandrere, herunder midlertidigt eller længerevarende ophold.</t>
  </si>
  <si>
    <t>87.99.90</t>
  </si>
  <si>
    <t>Drift af andre former for institutionsophold</t>
  </si>
  <si>
    <t>Branchen omfatter drift af forsorgshjem, optagelseshjem, beskyttede pensionater, herberger for hjemløse, krisecentre mv.</t>
  </si>
  <si>
    <t>Institutionsophold med sygepleje henvises til 87.10.20.</t>
  </si>
  <si>
    <t>88.10.10</t>
  </si>
  <si>
    <t>Drift af hjemmehjælp</t>
  </si>
  <si>
    <t>Branchen omfatter drift af hjemmehjælp, fx praktisk bistand i hjemmet til ældre, handicappede eller syge, herunder også andet omsorgsarbejde end hjemmehjælp.</t>
  </si>
  <si>
    <t>Hjemmesygepleje henvises til 86.94.00.</t>
  </si>
  <si>
    <t>88.10.20</t>
  </si>
  <si>
    <t>Drift af dagcentre mv.</t>
  </si>
  <si>
    <t>Branchen omfatter drift af dagcentre mv., fx åbne dagcentre, væresteder og aktivitetscentre.</t>
  </si>
  <si>
    <t>Daghjem, der også er en del af integreret plejeordning, henvises til 87.10.10.</t>
  </si>
  <si>
    <t>88.10.30</t>
  </si>
  <si>
    <t>Drift af revalideringsinstitutioner</t>
  </si>
  <si>
    <t>Branchen omfatter drift af revalideringsklinikker samt beskyttede værksteder.</t>
  </si>
  <si>
    <t>Institutioner for stofmisbrugere og alkoholskadede henvises til 87.20.20.</t>
  </si>
  <si>
    <t>88.91.10</t>
  </si>
  <si>
    <t>Drift af dagpleje</t>
  </si>
  <si>
    <t>Branchen omfatter drift af dagpleje, hvor børn passes i private hjem, formidlet af kommunen eller uden offentlig støtte. Branchen omfatter også dagpleje for børn med funktionsnedsættelser.</t>
  </si>
  <si>
    <t>88.91.20</t>
  </si>
  <si>
    <t>Drift af vuggestuer</t>
  </si>
  <si>
    <t>Branchen omfatter drift af vuggestuer og daginstitutioner for børn i alderen 0-3 år, herunder også pasningsordninger for børn med funktionsnedsættelser.</t>
  </si>
  <si>
    <t>Aldersintegrerede institutioner henvises til 88.91.50.</t>
  </si>
  <si>
    <t>88.91.30</t>
  </si>
  <si>
    <t>Drift af børnehaver</t>
  </si>
  <si>
    <t>Branchen omfatter drift af børnehaver og daginstitutioner for børn i alderen 2-6 år, herunder også pasningsordninger for børn med funktionsnedsættelser.</t>
  </si>
  <si>
    <t>88.91.40</t>
  </si>
  <si>
    <t>Drift af skolefritidsordninger og fritidshjem</t>
  </si>
  <si>
    <t>Branchen omfatter drift af skolefritidsordninger og fritidshjem, fritidsklubber for børn og pasningsordninger overvejende for børn i alderen 5-14 år samt byggelegepladser.</t>
  </si>
  <si>
    <t>88.91.50</t>
  </si>
  <si>
    <t>Drift af aldersintegrerede institutioner</t>
  </si>
  <si>
    <t>Branchen omfatter drift af aldersintegrerede institutioner, fx daginstitutioner der er beregnet til børn i alderen 0-14 år, 0-6 år eller 3-14 år, herunder særlige daginstitutioner for børn med vidtgående fysiske eller psykiske handicap.</t>
  </si>
  <si>
    <t>88.91.60</t>
  </si>
  <si>
    <t>Drift af fritids- og ungdomsklubber</t>
  </si>
  <si>
    <t>Branchen omfatter drift af fritids- og ungdomsklubber primært for større børn og unge.</t>
  </si>
  <si>
    <t>Drift af fritidshjem henvises til 88.91.40.</t>
  </si>
  <si>
    <t>88.99.10</t>
  </si>
  <si>
    <t>Støtteaktiviteter relateret til sygdomsbekæmpende, sociale og velgørende formål</t>
  </si>
  <si>
    <t>Branchen omfatter bl.a. indsamling af midler til velgørende formål, herunder sygdomsbekæmpelse.</t>
  </si>
  <si>
    <t>88.99.20</t>
  </si>
  <si>
    <t>Aktiviteter til støtte for flygtninge- og katastrofeofre mv.</t>
  </si>
  <si>
    <t>Branchen omfatter bl.a. aktiviteter, herunder rådgivning, til flygtninge, katastrofeofre og indvandrere.</t>
  </si>
  <si>
    <t>88.99.90</t>
  </si>
  <si>
    <t>Andre sociale støtte- og rådgivningsaktiviteter uden institutionsophold</t>
  </si>
  <si>
    <t>Branchen omfatter sociale foranstaltninger inden for støtte og rådgivning, herunder hjælpemiddelcentraler.</t>
  </si>
  <si>
    <t>90.11.00</t>
  </si>
  <si>
    <t>Litteratur- og musikkomposition</t>
  </si>
  <si>
    <t>Branchen omfatter komponering af musik og forfatning af tekster, fx manuskriptforfatteres og journalisters aktiviteter mv. Branchen omfatter også teknisk forfatterarbejde og bloggerarbejde.</t>
  </si>
  <si>
    <t>90.12.00</t>
  </si>
  <si>
    <t>Billedkunstnerisk skaben</t>
  </si>
  <si>
    <t>Branchen omfatter billedkunstnerisk skaben, herunder billedhuggere, malere og bladtegnere, inkl. digital skabelse af billedkunst samt lydinstallationer.</t>
  </si>
  <si>
    <t>90.13.00</t>
  </si>
  <si>
    <t>Anden kunstnerisk skaben</t>
  </si>
  <si>
    <t>Branchen omfatter aktiviteter i forbindelse med scenekunst, fx koreografiske aktiviteter.</t>
  </si>
  <si>
    <t>90.20.10</t>
  </si>
  <si>
    <t>Teater- og koncertproduktioner</t>
  </si>
  <si>
    <t>Branchen omfatter teater- og koncertproduktioner, herunder live sceneproduktioner, fx koncerter, opera, dans, opført af grupper af kunstnere, cirkusser, bands, orkestre mv.</t>
  </si>
  <si>
    <t>90.20.20</t>
  </si>
  <si>
    <t>Selvstændigt udøvende scenekunstnere</t>
  </si>
  <si>
    <t>Branchen omfatter selvstændigt udøvende scenekunstnere, fx live sceneproduktioner som teaterforestillinger, koncerter, opera mv., opført af selvstændigt udøvende scenekunstnere. Branchen omfatter også freelance fotomodeller, uafhængige musikere, skuespillere mv.</t>
  </si>
  <si>
    <t>Personlige manageres eller agenturers aktiviteter for skuespillere og andre personer henvises til 74.99.90.</t>
  </si>
  <si>
    <t>90.31.00</t>
  </si>
  <si>
    <t>Drift af teater- og koncertsale, kulturhuse mv.</t>
  </si>
  <si>
    <t>Branchen omfatter drift af kulturfaciliteter, fx teater- og koncertsale og kulturhuse, samt kulturfaciliteter som støtter kunstnerisk skaben inden for billedkunst.</t>
  </si>
  <si>
    <t>90.39.10</t>
  </si>
  <si>
    <t>Teknisk planlægning, levering, opsætning og betjening af udstyr til events</t>
  </si>
  <si>
    <t>Branchen omfatter udlejning af teknisk udstyr, med operatører, til hovedsageligt arrangører af kunstneriske arrangementer, fx koncerter, teaterforestillinger, musikfestivaller mv.</t>
  </si>
  <si>
    <t>Udlejning og leasing af andet materiel og udstyr, uden installation og operatører, henvises til 77.39.10 og 77.39.90.</t>
  </si>
  <si>
    <t>90.39.20</t>
  </si>
  <si>
    <t>Levering af andre serviceydelser i forbindelse med kunstnerisk skaben og scenekunst i.a.n.</t>
  </si>
  <si>
    <t>Branchen omfatter serviceydelser til produktion af live optrædener, herunder teaterforestillinger, koncerter, operaer mv. Serviceydelserne omfatter programledelse, kulissedesignere, lysteknikere, film- og teaterinstruktører mv.</t>
  </si>
  <si>
    <t>91.11.00</t>
  </si>
  <si>
    <t>Biblioteksaktiviteter</t>
  </si>
  <si>
    <t>Branchen omfatter aktiviteter på alle slags biblioteker, læsesale mv. Pædagogiske centraler og filmbiblioteker er også omfattet.</t>
  </si>
  <si>
    <t>91.12.00</t>
  </si>
  <si>
    <t>Arkivaktiviteter</t>
  </si>
  <si>
    <t>Branchen omfatter arkivering af bøger, film, kunstværker mv., inkl. fotolagre og digitalisering af arkivdokumenter. Branchen omfatter også arkivering af alle typer dokumenter.</t>
  </si>
  <si>
    <t>Lagring af datafiler henvises til 63.10.00.</t>
  </si>
  <si>
    <t>91.21.00</t>
  </si>
  <si>
    <t>Museumsaktiviteter og aktiviteter i forbindelse med samlinger</t>
  </si>
  <si>
    <t>Branchen omfatter drift og bevarelse af fortidsminder og mindesmærker, herunder pasning, vurdering og udstilling af museumssamlinger af enhver art.</t>
  </si>
  <si>
    <t>91.22.00</t>
  </si>
  <si>
    <t>Drift og bevarelse af fortidsminder, mindesmærker mv.</t>
  </si>
  <si>
    <t>Branchen omfatter drift og vedligeholdelse af historiske monumenter, bygninger og lignende attraktioner.</t>
  </si>
  <si>
    <t>Renovering, fornyelse, restaurerung, rekonstruktion og istandsættelse af historiske og arkæologiske områder og bygninger henvises til 43.99.00.</t>
  </si>
  <si>
    <t>91.30.00</t>
  </si>
  <si>
    <t>Konservering, restaurering og andre serviceydelser inden for kulturarv</t>
  </si>
  <si>
    <t>Branchen omfatter konservering og restaurering af historiske og arkæologiske værdier af ethvert materiale. Branchen omfatter også konsulentydelser vedrørende konservering og restaurering.</t>
  </si>
  <si>
    <t>91.41.00</t>
  </si>
  <si>
    <t>Drift af botaniske og zoologiske haver</t>
  </si>
  <si>
    <t>Branchen omfatter drift af botaniske og zoologiske haver samt akvarier.</t>
  </si>
  <si>
    <t>91.42.00</t>
  </si>
  <si>
    <t>Drift af naturreservater</t>
  </si>
  <si>
    <t>Branchen omfatter drift af naturreservater, herunder vildtbeskyttelse og tjenesteydelser til naturpleje og vedligeholdse af disse områder.</t>
  </si>
  <si>
    <t>92.00.00</t>
  </si>
  <si>
    <t>Lotteri- og andre spilleaktiviteter</t>
  </si>
  <si>
    <t>Branchen omfatter drift af spillefaciliteter, fx kasino og bingohaller, samt spilleaktiviteter, fx spilleautomater, bookmakere og salg af lodsedler. Dette gælder også drift af online versioner af samme.</t>
  </si>
  <si>
    <t>93.11.00</t>
  </si>
  <si>
    <t>Drift af sportsanlæg</t>
  </si>
  <si>
    <t>Branchen omfatter drift af alle former for inden- og udendørs sportsanlæg. Tilrettelæggelse og afvikling af sportsbegivenheder på egne anlæg samt styring og formidling af personale til driften er også omfattet.</t>
  </si>
  <si>
    <t>93.12.00</t>
  </si>
  <si>
    <t>Drift af sportsklubber</t>
  </si>
  <si>
    <t>Branchen omfatter drift af alle former for sportsklubber og idrætsforbund, herunder klubber for e-sport eller kortspil.</t>
  </si>
  <si>
    <t>Drift af sportsanlæg henvises til 93.11.00.</t>
  </si>
  <si>
    <t>93.13.00</t>
  </si>
  <si>
    <t>Drift af fitnesscentre</t>
  </si>
  <si>
    <t>Branchen omfatter fitnesscentre, sundheds- og bodybuilderklubber samt aerobicinstitutter, der inkluderer et medlemskab. Undervisning i at udføre aktiviteter i disse centre er også omfattet.</t>
  </si>
  <si>
    <t>93.19.00</t>
  </si>
  <si>
    <t>Sportsaktiviteter i.a.n.</t>
  </si>
  <si>
    <t>Branchen omfatter andre former for sportsaktiviteter, fx aktiviteter for at fremme sportsbegivenheder, aktiviteter udøvet af professionelle sportsfolk, drift af områder til sportsfiskeri og jagt samt stalde for væddeløbsheste og hunde.</t>
  </si>
  <si>
    <t>Drift af stalde for væddeløbsheste og rideskoler, hvis de har avlsaktiviteter, henvises til 01.43.00.</t>
  </si>
  <si>
    <t>93.21.00</t>
  </si>
  <si>
    <t>Drift af forlystelsesparker o.lign.</t>
  </si>
  <si>
    <t>Branchen omfatter drift af forlystelsesparker samt andre attraktioner, fx badelande, vandrutsjebaner, temaudstillinger og udflugtsområder.</t>
  </si>
  <si>
    <t>Drift af rutsjebaner, spil og forestillinger af selvstændige udbydere, fx på markedspladser, festivaller og julemarkeder, henvises til 93.29.90.</t>
  </si>
  <si>
    <t>93.29.10</t>
  </si>
  <si>
    <t>Drift af lystbådehavne</t>
  </si>
  <si>
    <t>Branchen omfatter drift af lystbådehavne til fornøjelser og fritidsaktiviteter.</t>
  </si>
  <si>
    <t>93.29.90</t>
  </si>
  <si>
    <t>Drift af andre forlystelser og fritidsaktiviteter</t>
  </si>
  <si>
    <t>Branchen omfatter forlystelser og fritidsaktiviteter, fx drift af skibakker inkl. udlejning af skiudstyr, udlejning af badehuse og aflåselige skabe samt drift af dansesteder (uden servering).</t>
  </si>
  <si>
    <t>94.11.00</t>
  </si>
  <si>
    <t>Erhvervs- og arbejdsgiverorganisationers aktiviteter</t>
  </si>
  <si>
    <t>Branchen omfatter erhvervs- og arbejdsgiverorganisationer, som varetager særlige gruppers interesser eller fremmer idéer for offentligheden. Disse organisationer har for det meste en medlemskreds.</t>
  </si>
  <si>
    <t>94.12.00</t>
  </si>
  <si>
    <t>Faglige sammenslutningers aktiviteter</t>
  </si>
  <si>
    <t>Branchen omfatter faglige sammenslutninger, hvor aktiviteten hovedsaglig består i formidling af viden for og mellem medlemmerne.</t>
  </si>
  <si>
    <t>94.20.00</t>
  </si>
  <si>
    <t>Fagforeningers aktiviteter</t>
  </si>
  <si>
    <t>Branchen omfatter fagforeninger, der varetager lønmodtagernes interesser.</t>
  </si>
  <si>
    <t>94.91.00</t>
  </si>
  <si>
    <t>Religiøse institutioners og foreningers aktiviteter</t>
  </si>
  <si>
    <t>Branchen omfatter religiøse foreninger eller enkeltpersoner, som leverer ydelser til diverse trossamfund.</t>
  </si>
  <si>
    <t>94.92.00</t>
  </si>
  <si>
    <t>Politiske partiers aktiviteter</t>
  </si>
  <si>
    <t>Branchen omfatter politiske partier og deres støtteorganisationer, fx ungdomsorganisationer.</t>
  </si>
  <si>
    <t>94.99.00</t>
  </si>
  <si>
    <t>Andre organisationers og foreningers aktiviteter i.a.n.</t>
  </si>
  <si>
    <t>Branchen omfatter en bred vifte af forskellige organisationer og foreninger med forskellige mål, der ikke er tilknyttet til et politisk parti, fx borgerinitiativer, protestbevægelser, miljø- og økologibevægelser og organisationer, der understøtter kultur- og uddannelsesinstitutioner.</t>
  </si>
  <si>
    <t>95.10.00</t>
  </si>
  <si>
    <t>Reparation og vedligeholdelse af computere og kommunikationsudstyr</t>
  </si>
  <si>
    <t>Branchen omfatter reparation og vedligeholdelse af computere, kommunikationsudstyr, it-udstyr og ydre enheder samt kasseterminaler.</t>
  </si>
  <si>
    <t>95.21.00</t>
  </si>
  <si>
    <t>Reparation og vedligeholdelse af forbrugerelektronik</t>
  </si>
  <si>
    <t>Branchen omfatter reparation og vedligeholdelse af forbrugerelektronik, som ikke er computere eller kommunikationsudstyr, til privat brug, fx TV og radio.</t>
  </si>
  <si>
    <t>95.22.00</t>
  </si>
  <si>
    <t>Reparation og vedligeholdelse af husholdningsapparater og redskaber til hus og have</t>
  </si>
  <si>
    <t>Branchen omfatter reparation og serviceeftersyn af apparater til husholdninger, fx køleskabe, vaskemaskiner og ovne samt redskaber til hus og have, fx plæneklippere og kantklippere.</t>
  </si>
  <si>
    <t>95.23.00</t>
  </si>
  <si>
    <t>Reparation og vedligeholdelse af fodtøj og lædervarer</t>
  </si>
  <si>
    <t>Branchen omfatter reparation og vedligeholdelse af fodtøj og lædervarer.</t>
  </si>
  <si>
    <t>95.24.00</t>
  </si>
  <si>
    <t>Reparation og vedligeholdelse af møbler og boligudstyr</t>
  </si>
  <si>
    <t>Branchen omfatter reparation, restaurering og vedligeholdelse af møbler og boligudstyr.</t>
  </si>
  <si>
    <t>95.25.00</t>
  </si>
  <si>
    <t>Reparation og vedligeholdelse af ure og smykker</t>
  </si>
  <si>
    <t>Branchen omfatter reparation af smykker og ure samt dele hertil, fx urkasser og -kabinetter.</t>
  </si>
  <si>
    <t>Reparation af kontrolure, tid- og datostempler og andre tidtagningsprodukter henvises til 33.13.00.</t>
  </si>
  <si>
    <t>95.29.00</t>
  </si>
  <si>
    <t>Reparation og vedligeholdelse af varer til personlig brug og husholdningsbrug i.a.n.</t>
  </si>
  <si>
    <t>Branchen omfatter reparation af en bred vifte af varer til personligt husholdningsbrug, fx cykler, musikinstrumenter, bøger, legetøj, campingudstyr og sportsudstyr.</t>
  </si>
  <si>
    <t>95.31.10</t>
  </si>
  <si>
    <t>Dækservice</t>
  </si>
  <si>
    <t>Branchen omfatter reparation, montering og udskiftning af dæk.</t>
  </si>
  <si>
    <t>95.31.20</t>
  </si>
  <si>
    <t>Reparation og lakering af karosseri samt undervognsbehandling</t>
  </si>
  <si>
    <t>Branchen omfatter reparation og lakering af karosseri på last- og personbiler mv.</t>
  </si>
  <si>
    <t>95.31.90</t>
  </si>
  <si>
    <t>Reparation og vedligeholdelse af motorkøretøjer i.a.n.</t>
  </si>
  <si>
    <t>Branchen omfatter reparation og vedligeholdelse af motorkøretøjer, herunder trailere og anhængere.</t>
  </si>
  <si>
    <t>95.32.00</t>
  </si>
  <si>
    <t>Reparation og vedligeholdelse af motorcykler</t>
  </si>
  <si>
    <t>Branchen omfatter reparation og vedligeholdelse af motorcykler, inklusiv lakering og malerarbejde.</t>
  </si>
  <si>
    <t>95.40.00</t>
  </si>
  <si>
    <t>Formidlingsaktiviteter i forbindelse med reparation og vedligeholdelse af computere, varer til personlig brug og husholdningsbrug samt motorkøretøjer og motorcykler</t>
  </si>
  <si>
    <t>Branchen omfatter formidlingsaktiviteter inden for reparation og vedligeholdelse af computere, varer til personlig brug og husholdningsbrug samt motorkøretøjer og motorcykler.</t>
  </si>
  <si>
    <t>96.10.10</t>
  </si>
  <si>
    <t>Drift af erhvervs- og institutionsvaskerier</t>
  </si>
  <si>
    <t>Branchen omfatter kombinerede udlejnings- og vaskeservices, herunder vask og rengøring af tekstiler.</t>
  </si>
  <si>
    <t>96.10.20</t>
  </si>
  <si>
    <t>Drift af renserier og selvbetjeningsvaskerier mv.</t>
  </si>
  <si>
    <t>Branchen omfatter drift af renserier og selvbetjeningsvaskerier samt rengøring af tæpper og gardiner, fx hjemme hos kunden.</t>
  </si>
  <si>
    <t>Reparation og skræddertilpasning af tøj henvises til 95.29.00.</t>
  </si>
  <si>
    <t>96.21.00</t>
  </si>
  <si>
    <t>Drift af frisør- og barbersaloner</t>
  </si>
  <si>
    <t>Branchen omfatter drift af frisør- og barbersaloner.</t>
  </si>
  <si>
    <t>96.22.00</t>
  </si>
  <si>
    <t>Skønhedspleje og anden skønhedsbehandling</t>
  </si>
  <si>
    <t>Branchen omfatter skønhedspleje og anden skønhedsbehandling.</t>
  </si>
  <si>
    <t>Kosmetisk kirurgi udført af lægefaglige specialister henvises til 86.22.00.</t>
  </si>
  <si>
    <t>96.23.00</t>
  </si>
  <si>
    <t>Drift af dagspa, saunaer og dampbade</t>
  </si>
  <si>
    <t>Branchen omfatter drift af dagspa, slankeklinikker, solarier, saunaer, dampbade mv., samt ikke-lægefaglige massageaktiviteter som fx wellness massage.</t>
  </si>
  <si>
    <t>96.30.00</t>
  </si>
  <si>
    <t>Drift af bedemandsforretninger og begravelsesvæsen</t>
  </si>
  <si>
    <t>Branchen omfatter drift af bedemandsforretninger og begravelsesvæsen, herunder klargøring af døde og tjenester i forbindelse med begravelse og salg af gravsten.</t>
  </si>
  <si>
    <t>Religiøse begravelsestjenester henvises til 94.91.00.</t>
  </si>
  <si>
    <t>96.40.00</t>
  </si>
  <si>
    <t>Formidlingsaktiviteter inden for personlige serviceydelser</t>
  </si>
  <si>
    <t>Branchen omfatter formidlingsaktiviteter inden for personlige serviceydelser.</t>
  </si>
  <si>
    <t>96.91.00</t>
  </si>
  <si>
    <t>Levering af personlige serviceydelser i hjemmet</t>
  </si>
  <si>
    <t>Branchen omfatter levering af personlige serviceydelser i hjemmet.</t>
  </si>
  <si>
    <t>Hjemmehjælp til ældre henvises til 88.10.10.</t>
  </si>
  <si>
    <t>96.99.00</t>
  </si>
  <si>
    <t>Andre personlige serviceydelser i.a.n.</t>
  </si>
  <si>
    <t>Branchen omfatter personlige serviceydelser som fx astrologi- og spiritualitetsaktiviteter og sociale ydelser, fx escortservices, datingservices, ægteskabsbureauer mv.</t>
  </si>
  <si>
    <t>97.00.00</t>
  </si>
  <si>
    <t>Aktiviteter i husholdninger med ansat medhjælp</t>
  </si>
  <si>
    <t>Branchen omfatter private husholdninger med ansat medhjælp, fx kokke, gartnere, sekretærer og husassistenter, fx au pair. Personer med funktionsnedsættelse med egen ansat hjælp er også omfattet.</t>
  </si>
  <si>
    <t>98.10.00</t>
  </si>
  <si>
    <t>Private husholdningers produktion af udifferentierede varer til eget brug</t>
  </si>
  <si>
    <t>Branchen omfatter husholdningers produktion af varer til eget forbrug, fx jagt, indsamling, landbrug samt produktion af beklædning til egen forsørgelse.</t>
  </si>
  <si>
    <t>98.20.00</t>
  </si>
  <si>
    <t>Private husholdningers produktion af udifferentierede tjenesteydelser til eget brug</t>
  </si>
  <si>
    <t>Branchen omfatter ydelser som fx madlavning, pasning af husholdningens medlemmer, undervisning og andre tjenesteydelser, som husholdningen producerer til egen forsørgelse.</t>
  </si>
  <si>
    <t>99.00.10</t>
  </si>
  <si>
    <t>Ambassaders eksterritoriale aktivitet</t>
  </si>
  <si>
    <t>Branchen omfatter andre landes ambassader og konsulater.</t>
  </si>
  <si>
    <t>99.00.20</t>
  </si>
  <si>
    <t>Andre eksterritoriale organisationers og organers aktiviteter</t>
  </si>
  <si>
    <t>Branchen omfatter internationale organisationer, fx Verdensbanken, Den Europæiske Frihandelssammenslutning og FN-systemets organer.</t>
  </si>
  <si>
    <t>71.12.10 Rådgivende ingeniøraktiviteter inden for byggeri og anlægsarbejder</t>
  </si>
  <si>
    <t>Djurs Consult</t>
  </si>
  <si>
    <t>Hovedkontor</t>
  </si>
  <si>
    <t>Østergade 7, 8963 Auning</t>
  </si>
  <si>
    <r>
      <t xml:space="preserve">Virksomheden har udpeget ansvarlige for energiledelse og fastlagt, hvordan ansvaret er organiseret på den pågældende lokation. </t>
    </r>
    <r>
      <rPr>
        <b/>
        <sz val="11"/>
        <color theme="1"/>
        <rFont val="Aptos Narrow"/>
        <family val="2"/>
        <scheme val="minor"/>
      </rPr>
      <t xml:space="preserve">
</t>
    </r>
  </si>
  <si>
    <t>1.2.5</t>
  </si>
  <si>
    <t xml:space="preserve">Virksomheden overvåger systematisk og følger op på sit energiforbrug </t>
  </si>
  <si>
    <t>Vedvarende energi</t>
  </si>
  <si>
    <t>Energiledelse og energiforbrug</t>
  </si>
  <si>
    <t>1.4.4</t>
  </si>
  <si>
    <t>1.4.5</t>
  </si>
  <si>
    <t>Mindst 20% af virksomhedens energiforbrug stammer fra vedvarende energikilder</t>
  </si>
  <si>
    <t>Mindst 50% af virksomhedens energiforbrug stammer fra vedvarende energikilder</t>
  </si>
  <si>
    <t>Hele virksomhedens energiforbrug stammer fra vedvarende energikilder</t>
  </si>
  <si>
    <t>Virksomheden kan dokumentere oprindelsen af den energi, som hævdes at være grøn, uanset andel.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</si>
</sst>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quot;kr.&quot;"/>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Aptos Narrow"/>
      <family val="2"/>
      <scheme val="minor"/>
    </font>
    <font>
      <sz val="11"/>
      <color rgb="FFFF0000"/>
      <name val="Aptos Narrow"/>
      <family val="2"/>
      <scheme val="minor"/>
    </font>
    <font>
      <b/>
      <sz val="22"/>
      <color theme="1"/>
      <name val="Aptos Narrow"/>
      <family val="2"/>
      <scheme val="minor"/>
    </font>
    <font>
      <sz val="11"/>
      <color theme="9"/>
      <name val="Aptos Narrow"/>
      <family val="2"/>
      <scheme val="minor"/>
    </font>
    <font>
      <b/>
      <sz val="24"/>
      <color theme="1"/>
      <name val="Aptos Narrow"/>
      <family val="2"/>
      <scheme val="minor"/>
    </font>
    <font>
      <b/>
      <sz val="18"/>
      <color theme="1"/>
      <name val="Aptos Narrow"/>
      <family val="2"/>
      <scheme val="minor"/>
    </font>
    <font>
      <b/>
      <sz val="18"/>
      <color theme="2"/>
      <name val="Aptos Narrow"/>
      <family val="2"/>
      <scheme val="minor"/>
    </font>
    <font>
      <sz val="26"/>
      <color theme="1"/>
      <name val="Aptos Narrow"/>
      <family val="2"/>
      <scheme val="minor"/>
    </font>
    <font>
      <sz val="9"/>
      <color indexed="81"/>
      <name val="Tahoma"/>
      <family val="2"/>
    </font>
    <font>
      <b/>
      <sz val="9"/>
      <color indexed="81"/>
      <name val="Tahoma"/>
      <family val="2"/>
    </font>
    <font>
      <b/>
      <sz val="12"/>
      <color rgb="FF212529"/>
      <name val="Arial"/>
      <family val="2"/>
    </font>
    <font>
      <sz val="12"/>
      <color rgb="FF212529"/>
      <name val="Arial"/>
      <family val="2"/>
    </font>
    <font>
      <u/>
      <sz val="11"/>
      <color theme="10"/>
      <name val="Aptos Narrow"/>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0"/>
        <bgColor indexed="64"/>
      </patternFill>
    </fill>
    <fill>
      <patternFill patternType="solid">
        <fgColor theme="4"/>
        <bgColor indexed="64"/>
      </patternFill>
    </fill>
    <fill>
      <patternFill patternType="gray125">
        <bgColor theme="0"/>
      </patternFill>
    </fill>
    <fill>
      <patternFill patternType="gray125">
        <bgColor theme="0" tint="-4.9989318521683403E-2"/>
      </patternFill>
    </fill>
    <fill>
      <patternFill patternType="solid">
        <fgColor rgb="FFFFF9D5"/>
        <bgColor indexed="64"/>
      </patternFill>
    </fill>
    <fill>
      <patternFill patternType="solid">
        <fgColor rgb="FF92D050"/>
        <bgColor indexed="64"/>
      </patternFill>
    </fill>
    <fill>
      <patternFill patternType="solid">
        <fgColor rgb="FFFF7D2D"/>
        <bgColor indexed="64"/>
      </patternFill>
    </fill>
    <fill>
      <patternFill patternType="solid">
        <fgColor theme="9" tint="0.79998168889431442"/>
        <bgColor indexed="64"/>
      </patternFill>
    </fill>
    <fill>
      <patternFill patternType="solid">
        <fgColor rgb="FFFFF9C4"/>
        <bgColor indexed="64"/>
      </patternFill>
    </fill>
    <fill>
      <patternFill patternType="solid">
        <fgColor rgb="FFFFFFFF"/>
        <bgColor indexed="64"/>
      </patternFill>
    </fill>
    <fill>
      <patternFill patternType="solid">
        <fgColor rgb="FFF2F2F2"/>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3">
    <xf numFmtId="0" fontId="0" fillId="0" borderId="0"/>
    <xf numFmtId="9" fontId="1" fillId="0" borderId="0" applyFont="0" applyFill="0" applyBorder="0" applyAlignment="0" applyProtection="0"/>
    <xf numFmtId="0" fontId="15" fillId="0" borderId="0" applyNumberFormat="0" applyFill="0" applyBorder="0" applyAlignment="0" applyProtection="0"/>
  </cellStyleXfs>
  <cellXfs count="304">
    <xf numFmtId="0" fontId="0" fillId="0" borderId="0" xfId="0"/>
    <xf numFmtId="0" fontId="2" fillId="0" borderId="1" xfId="0" applyFont="1" applyBorder="1"/>
    <xf numFmtId="0" fontId="0" fillId="0" borderId="1" xfId="0" applyBorder="1" applyAlignment="1">
      <alignment wrapText="1"/>
    </xf>
    <xf numFmtId="0" fontId="2" fillId="0" borderId="1" xfId="0" applyFont="1" applyBorder="1" applyAlignment="1">
      <alignment horizontal="right"/>
    </xf>
    <xf numFmtId="0" fontId="0" fillId="7" borderId="0" xfId="0" applyFill="1"/>
    <xf numFmtId="0" fontId="0" fillId="7" borderId="0" xfId="0" applyFill="1" applyAlignment="1">
      <alignment horizontal="center" vertical="center"/>
    </xf>
    <xf numFmtId="0" fontId="0" fillId="0" borderId="4" xfId="0"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right" vertical="top"/>
    </xf>
    <xf numFmtId="0" fontId="0" fillId="0" borderId="4" xfId="0" applyBorder="1" applyAlignment="1">
      <alignment horizontal="left" vertical="top" wrapText="1"/>
    </xf>
    <xf numFmtId="0" fontId="0" fillId="8" borderId="0" xfId="0" applyFill="1"/>
    <xf numFmtId="0" fontId="0" fillId="8" borderId="0" xfId="0" applyFill="1" applyAlignment="1">
      <alignment horizontal="center" vertical="center"/>
    </xf>
    <xf numFmtId="0" fontId="2" fillId="8" borderId="0" xfId="0" applyFont="1" applyFill="1" applyAlignment="1">
      <alignment horizontal="center" vertical="center"/>
    </xf>
    <xf numFmtId="0" fontId="0" fillId="0" borderId="4" xfId="0" applyBorder="1" applyAlignment="1">
      <alignment horizontal="right" vertical="top"/>
    </xf>
    <xf numFmtId="0" fontId="2" fillId="0" borderId="2" xfId="0" applyFont="1" applyBorder="1"/>
    <xf numFmtId="0" fontId="0" fillId="0" borderId="0" xfId="0" applyAlignment="1">
      <alignment vertical="top" wrapText="1"/>
    </xf>
    <xf numFmtId="0" fontId="0" fillId="0" borderId="16" xfId="0" applyBorder="1" applyAlignment="1">
      <alignment vertical="top" wrapText="1"/>
    </xf>
    <xf numFmtId="0" fontId="0" fillId="7" borderId="0" xfId="0" applyFill="1" applyAlignment="1">
      <alignment horizontal="center" vertical="center" wrapText="1"/>
    </xf>
    <xf numFmtId="164" fontId="2" fillId="7" borderId="3" xfId="0" applyNumberFormat="1" applyFont="1" applyFill="1" applyBorder="1" applyAlignment="1">
      <alignment horizontal="center" vertical="center"/>
    </xf>
    <xf numFmtId="0" fontId="0" fillId="5" borderId="1" xfId="0" applyFill="1" applyBorder="1" applyAlignment="1">
      <alignment horizontal="right" vertical="top"/>
    </xf>
    <xf numFmtId="0" fontId="0" fillId="7" borderId="24" xfId="0" applyFill="1" applyBorder="1"/>
    <xf numFmtId="0" fontId="2" fillId="7" borderId="0" xfId="0" applyFont="1" applyFill="1" applyAlignment="1">
      <alignment horizontal="center" vertical="center"/>
    </xf>
    <xf numFmtId="0" fontId="2" fillId="2" borderId="25" xfId="0" applyFont="1" applyFill="1" applyBorder="1"/>
    <xf numFmtId="0" fontId="0" fillId="8" borderId="24" xfId="0" applyFill="1" applyBorder="1"/>
    <xf numFmtId="0" fontId="2" fillId="3" borderId="25" xfId="0" applyFont="1" applyFill="1" applyBorder="1"/>
    <xf numFmtId="0" fontId="0" fillId="7" borderId="26" xfId="0" applyFill="1" applyBorder="1"/>
    <xf numFmtId="0" fontId="0" fillId="7" borderId="27" xfId="0" applyFill="1" applyBorder="1"/>
    <xf numFmtId="0" fontId="0" fillId="5" borderId="14" xfId="0" applyFill="1" applyBorder="1" applyAlignment="1">
      <alignment horizontal="right" vertical="top"/>
    </xf>
    <xf numFmtId="0" fontId="0" fillId="0" borderId="14" xfId="0" applyBorder="1" applyAlignment="1">
      <alignment vertical="top" wrapText="1"/>
    </xf>
    <xf numFmtId="0" fontId="2" fillId="7" borderId="27" xfId="0" applyFont="1" applyFill="1" applyBorder="1" applyAlignment="1">
      <alignment horizontal="center" vertical="center"/>
    </xf>
    <xf numFmtId="0" fontId="2" fillId="2" borderId="11" xfId="0" applyFont="1" applyFill="1" applyBorder="1"/>
    <xf numFmtId="0" fontId="0" fillId="8" borderId="26" xfId="0" applyFill="1" applyBorder="1"/>
    <xf numFmtId="0" fontId="0" fillId="8" borderId="27" xfId="0" applyFill="1" applyBorder="1"/>
    <xf numFmtId="0" fontId="0" fillId="0" borderId="14" xfId="0" applyBorder="1" applyAlignment="1">
      <alignment horizontal="right" vertical="top"/>
    </xf>
    <xf numFmtId="0" fontId="2" fillId="3" borderId="11" xfId="0" applyFont="1" applyFill="1" applyBorder="1"/>
    <xf numFmtId="0" fontId="2" fillId="4" borderId="11" xfId="0" applyFont="1" applyFill="1" applyBorder="1"/>
    <xf numFmtId="0" fontId="0" fillId="7" borderId="9" xfId="0" applyFill="1" applyBorder="1" applyAlignment="1">
      <alignment horizontal="center" vertical="center"/>
    </xf>
    <xf numFmtId="0" fontId="0" fillId="9" borderId="1" xfId="0" applyFill="1" applyBorder="1" applyAlignment="1">
      <alignment horizontal="center" vertical="center"/>
    </xf>
    <xf numFmtId="0" fontId="0" fillId="9" borderId="12" xfId="0" applyFill="1" applyBorder="1" applyAlignment="1">
      <alignment horizontal="center" vertical="center"/>
    </xf>
    <xf numFmtId="0" fontId="0" fillId="9" borderId="5" xfId="0" applyFill="1" applyBorder="1" applyAlignment="1">
      <alignment horizontal="center" vertical="center"/>
    </xf>
    <xf numFmtId="0" fontId="0" fillId="9" borderId="14" xfId="0" applyFill="1" applyBorder="1" applyAlignment="1">
      <alignment horizontal="center" vertical="center"/>
    </xf>
    <xf numFmtId="164" fontId="2" fillId="9" borderId="1" xfId="0" applyNumberFormat="1" applyFont="1" applyFill="1" applyBorder="1" applyAlignment="1">
      <alignment horizontal="center" vertical="center"/>
    </xf>
    <xf numFmtId="49" fontId="0" fillId="10" borderId="1" xfId="0" applyNumberFormat="1" applyFill="1" applyBorder="1" applyAlignment="1">
      <alignment horizontal="center" vertical="center"/>
      <extLst>
        <ext xmlns:xfpb="http://schemas.microsoft.com/office/spreadsheetml/2022/featurepropertybag" uri="{C7286773-470A-42A8-94C5-96B5CB345126}">
          <xfpb:xfComplement i="0"/>
        </ext>
      </extLst>
    </xf>
    <xf numFmtId="49" fontId="0" fillId="10" borderId="1" xfId="0" applyNumberFormat="1" applyFill="1" applyBorder="1" applyAlignment="1">
      <alignment horizontal="center" vertical="center" wrapText="1"/>
      <extLst>
        <ext xmlns:xfpb="http://schemas.microsoft.com/office/spreadsheetml/2022/featurepropertybag" uri="{C7286773-470A-42A8-94C5-96B5CB345126}">
          <xfpb:xfComplement i="0"/>
        </ext>
      </extLst>
    </xf>
    <xf numFmtId="9" fontId="2" fillId="10" borderId="23" xfId="1" applyFont="1" applyFill="1" applyBorder="1" applyAlignment="1">
      <alignment vertical="center"/>
    </xf>
    <xf numFmtId="9" fontId="2" fillId="10" borderId="15" xfId="1" applyFont="1" applyFill="1" applyBorder="1" applyAlignment="1">
      <alignment vertical="center"/>
    </xf>
    <xf numFmtId="0" fontId="0" fillId="10" borderId="1" xfId="0" applyFill="1" applyBorder="1" applyAlignment="1">
      <alignment horizontal="center" vertical="center" wrapText="1"/>
      <extLst>
        <ext xmlns:xfpb="http://schemas.microsoft.com/office/spreadsheetml/2022/featurepropertybag" uri="{C7286773-470A-42A8-94C5-96B5CB345126}">
          <xfpb:xfComplement i="0"/>
        </ext>
      </extLst>
    </xf>
    <xf numFmtId="0" fontId="0" fillId="10"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10" borderId="14" xfId="0" applyFill="1" applyBorder="1" applyAlignment="1">
      <alignment horizontal="center" vertical="center" wrapText="1"/>
      <extLst>
        <ext xmlns:xfpb="http://schemas.microsoft.com/office/spreadsheetml/2022/featurepropertybag" uri="{C7286773-470A-42A8-94C5-96B5CB345126}">
          <xfpb:xfComplement i="0"/>
        </ext>
      </extLst>
    </xf>
    <xf numFmtId="9" fontId="2" fillId="10" borderId="37" xfId="1" applyFont="1" applyFill="1" applyBorder="1" applyAlignment="1">
      <alignment vertical="center"/>
    </xf>
    <xf numFmtId="9" fontId="2" fillId="10" borderId="38" xfId="1" applyFont="1" applyFill="1" applyBorder="1" applyAlignment="1">
      <alignment vertical="center"/>
    </xf>
    <xf numFmtId="1" fontId="2" fillId="7" borderId="0" xfId="1" applyNumberFormat="1" applyFont="1" applyFill="1" applyBorder="1" applyAlignment="1">
      <alignment horizontal="center" vertical="center"/>
    </xf>
    <xf numFmtId="1" fontId="2" fillId="9" borderId="1" xfId="0" applyNumberFormat="1" applyFont="1" applyFill="1" applyBorder="1" applyAlignment="1">
      <alignment horizontal="center" vertical="center"/>
    </xf>
    <xf numFmtId="1" fontId="2" fillId="7" borderId="16" xfId="1" applyNumberFormat="1" applyFont="1" applyFill="1" applyBorder="1" applyAlignment="1">
      <alignment horizontal="center" vertical="center"/>
    </xf>
    <xf numFmtId="1" fontId="2" fillId="8" borderId="0" xfId="1" applyNumberFormat="1" applyFont="1" applyFill="1" applyBorder="1" applyAlignment="1">
      <alignment horizontal="center" vertical="center"/>
    </xf>
    <xf numFmtId="1" fontId="2" fillId="8" borderId="27" xfId="1" applyNumberFormat="1" applyFont="1" applyFill="1" applyBorder="1" applyAlignment="1">
      <alignment horizontal="center" vertical="center"/>
    </xf>
    <xf numFmtId="0" fontId="2" fillId="11" borderId="12" xfId="0" applyFont="1" applyFill="1" applyBorder="1" applyAlignment="1">
      <alignment horizontal="center" vertical="center"/>
    </xf>
    <xf numFmtId="0" fontId="2" fillId="11" borderId="1" xfId="0" applyFont="1" applyFill="1" applyBorder="1" applyAlignment="1">
      <alignment horizontal="center" vertical="center"/>
    </xf>
    <xf numFmtId="1" fontId="2" fillId="11" borderId="12" xfId="1" applyNumberFormat="1" applyFont="1" applyFill="1" applyBorder="1" applyAlignment="1">
      <alignment horizontal="center" vertical="center"/>
    </xf>
    <xf numFmtId="0" fontId="2" fillId="11" borderId="8" xfId="0" applyFont="1" applyFill="1" applyBorder="1" applyAlignment="1">
      <alignment horizontal="center" vertical="center"/>
    </xf>
    <xf numFmtId="1" fontId="2" fillId="11" borderId="1" xfId="1" applyNumberFormat="1" applyFont="1" applyFill="1" applyBorder="1" applyAlignment="1">
      <alignment horizontal="center" vertical="center"/>
    </xf>
    <xf numFmtId="0" fontId="2" fillId="11" borderId="2" xfId="0" applyFont="1" applyFill="1" applyBorder="1" applyAlignment="1">
      <alignment horizontal="center" vertical="center"/>
    </xf>
    <xf numFmtId="0" fontId="2" fillId="11" borderId="14" xfId="0" applyFont="1" applyFill="1" applyBorder="1" applyAlignment="1">
      <alignment horizontal="center" vertical="center"/>
    </xf>
    <xf numFmtId="0" fontId="2" fillId="11" borderId="21" xfId="0" applyFont="1" applyFill="1" applyBorder="1" applyAlignment="1">
      <alignment horizontal="center" vertical="center"/>
    </xf>
    <xf numFmtId="1" fontId="2" fillId="7" borderId="9" xfId="0" applyNumberFormat="1" applyFont="1" applyFill="1" applyBorder="1" applyAlignment="1">
      <alignment horizontal="center" vertical="center"/>
    </xf>
    <xf numFmtId="164" fontId="2" fillId="9" borderId="21" xfId="0" applyNumberFormat="1" applyFont="1" applyFill="1" applyBorder="1" applyAlignment="1">
      <alignment horizontal="center" vertical="center"/>
    </xf>
    <xf numFmtId="164" fontId="2" fillId="7" borderId="0" xfId="0" applyNumberFormat="1" applyFont="1" applyFill="1" applyAlignment="1">
      <alignment horizontal="center" vertical="center"/>
    </xf>
    <xf numFmtId="164" fontId="2" fillId="9" borderId="8" xfId="0" applyNumberFormat="1" applyFont="1" applyFill="1" applyBorder="1" applyAlignment="1">
      <alignment horizontal="center" vertical="center"/>
    </xf>
    <xf numFmtId="164" fontId="2" fillId="7" borderId="10" xfId="0" applyNumberFormat="1" applyFont="1" applyFill="1" applyBorder="1" applyAlignment="1">
      <alignment horizontal="center" vertical="center"/>
    </xf>
    <xf numFmtId="164" fontId="2" fillId="7" borderId="9" xfId="0" applyNumberFormat="1" applyFont="1" applyFill="1" applyBorder="1" applyAlignment="1">
      <alignment horizontal="center" vertical="center"/>
    </xf>
    <xf numFmtId="164" fontId="2" fillId="9" borderId="5" xfId="0" applyNumberFormat="1" applyFont="1" applyFill="1" applyBorder="1" applyAlignment="1">
      <alignment horizontal="center" vertical="center"/>
    </xf>
    <xf numFmtId="164" fontId="2" fillId="8" borderId="10" xfId="0" applyNumberFormat="1" applyFont="1" applyFill="1" applyBorder="1" applyAlignment="1">
      <alignment horizontal="center" vertical="center"/>
    </xf>
    <xf numFmtId="164" fontId="2" fillId="8" borderId="0" xfId="0" applyNumberFormat="1" applyFont="1" applyFill="1" applyAlignment="1">
      <alignment horizontal="center" vertical="center"/>
    </xf>
    <xf numFmtId="164" fontId="2" fillId="9" borderId="14" xfId="0" applyNumberFormat="1" applyFont="1" applyFill="1" applyBorder="1" applyAlignment="1">
      <alignment horizontal="center" vertical="center"/>
    </xf>
    <xf numFmtId="164" fontId="2" fillId="9" borderId="12" xfId="0" applyNumberFormat="1" applyFont="1" applyFill="1" applyBorder="1" applyAlignment="1">
      <alignment horizontal="center" vertical="center"/>
    </xf>
    <xf numFmtId="164" fontId="2" fillId="7" borderId="6" xfId="0" applyNumberFormat="1" applyFont="1" applyFill="1" applyBorder="1" applyAlignment="1">
      <alignment horizontal="center" vertical="center"/>
    </xf>
    <xf numFmtId="0" fontId="0" fillId="0" borderId="5" xfId="0" applyBorder="1" applyAlignment="1">
      <alignment vertical="top" wrapText="1"/>
    </xf>
    <xf numFmtId="0" fontId="0" fillId="10" borderId="2" xfId="0" applyFill="1" applyBorder="1" applyAlignment="1">
      <alignment horizontal="center" vertical="center"/>
      <extLst>
        <ext xmlns:xfpb="http://schemas.microsoft.com/office/spreadsheetml/2022/featurepropertybag" uri="{C7286773-470A-42A8-94C5-96B5CB345126}">
          <xfpb:xfComplement i="0"/>
        </ext>
      </extLst>
    </xf>
    <xf numFmtId="164" fontId="2" fillId="9" borderId="3" xfId="0" applyNumberFormat="1" applyFont="1" applyFill="1" applyBorder="1" applyAlignment="1">
      <alignment horizontal="center" vertical="center"/>
    </xf>
    <xf numFmtId="9" fontId="2" fillId="10" borderId="42" xfId="1" applyFont="1" applyFill="1" applyBorder="1" applyAlignment="1">
      <alignment vertical="center"/>
    </xf>
    <xf numFmtId="0" fontId="3" fillId="6" borderId="29" xfId="0" applyFont="1" applyFill="1" applyBorder="1" applyAlignment="1">
      <alignment horizontal="center" vertical="center"/>
    </xf>
    <xf numFmtId="0" fontId="0" fillId="0" borderId="35" xfId="0" applyBorder="1" applyAlignment="1">
      <alignment vertical="top" wrapText="1"/>
    </xf>
    <xf numFmtId="0" fontId="0" fillId="0" borderId="10" xfId="0" applyBorder="1" applyAlignment="1">
      <alignment vertical="top" wrapText="1"/>
    </xf>
    <xf numFmtId="0" fontId="0" fillId="0" borderId="47" xfId="0" applyBorder="1" applyAlignment="1">
      <alignment vertical="top" wrapText="1"/>
    </xf>
    <xf numFmtId="0" fontId="0" fillId="10" borderId="48" xfId="0" applyFill="1" applyBorder="1" applyAlignment="1">
      <alignment vertical="top" wrapText="1"/>
    </xf>
    <xf numFmtId="0" fontId="0" fillId="10" borderId="49" xfId="0" applyFill="1" applyBorder="1" applyAlignment="1">
      <alignment vertical="top" wrapText="1"/>
    </xf>
    <xf numFmtId="0" fontId="0" fillId="10" borderId="50" xfId="0" applyFill="1" applyBorder="1" applyAlignment="1">
      <alignment vertical="top" wrapText="1"/>
    </xf>
    <xf numFmtId="0" fontId="0" fillId="10" borderId="30" xfId="0" applyFill="1" applyBorder="1" applyAlignment="1">
      <alignment vertical="top" wrapText="1"/>
    </xf>
    <xf numFmtId="0" fontId="0" fillId="10" borderId="51" xfId="0" applyFill="1" applyBorder="1" applyAlignment="1">
      <alignment vertical="top" wrapText="1"/>
    </xf>
    <xf numFmtId="0" fontId="0" fillId="5" borderId="0" xfId="0" applyFill="1"/>
    <xf numFmtId="0" fontId="2" fillId="5" borderId="0" xfId="0" applyFont="1" applyFill="1" applyAlignment="1">
      <alignment horizontal="right" vertical="center" wrapText="1"/>
    </xf>
    <xf numFmtId="0" fontId="2" fillId="5" borderId="0" xfId="0" applyFont="1" applyFill="1" applyAlignment="1">
      <alignment wrapText="1"/>
    </xf>
    <xf numFmtId="0" fontId="2" fillId="5" borderId="20" xfId="0" applyFont="1" applyFill="1" applyBorder="1" applyAlignment="1">
      <alignment horizontal="center" vertical="top" wrapText="1"/>
    </xf>
    <xf numFmtId="0" fontId="0" fillId="5" borderId="39" xfId="0" applyFill="1" applyBorder="1" applyAlignment="1">
      <alignment horizontal="center" vertical="center"/>
    </xf>
    <xf numFmtId="0" fontId="2" fillId="2" borderId="22" xfId="0" applyFont="1" applyFill="1" applyBorder="1" applyAlignment="1">
      <alignment horizontal="center" vertical="center"/>
    </xf>
    <xf numFmtId="0" fontId="2" fillId="2" borderId="22" xfId="0" applyFont="1" applyFill="1" applyBorder="1" applyAlignment="1">
      <alignment horizontal="center" vertical="center" wrapText="1"/>
    </xf>
    <xf numFmtId="0" fontId="2" fillId="2" borderId="29" xfId="0" applyFont="1" applyFill="1" applyBorder="1" applyAlignment="1">
      <alignment vertical="top" wrapText="1"/>
    </xf>
    <xf numFmtId="0" fontId="2" fillId="2" borderId="29" xfId="0" applyFont="1" applyFill="1" applyBorder="1" applyAlignment="1">
      <alignment vertical="center" wrapText="1"/>
    </xf>
    <xf numFmtId="0" fontId="0" fillId="2" borderId="39" xfId="0" applyFill="1" applyBorder="1"/>
    <xf numFmtId="0" fontId="0" fillId="2" borderId="41" xfId="0" applyFill="1" applyBorder="1"/>
    <xf numFmtId="0" fontId="2" fillId="3" borderId="22" xfId="0" applyFont="1" applyFill="1" applyBorder="1" applyAlignment="1">
      <alignment horizontal="center" vertical="center"/>
    </xf>
    <xf numFmtId="0" fontId="2" fillId="3" borderId="29" xfId="0" applyFont="1" applyFill="1" applyBorder="1" applyAlignment="1">
      <alignment vertical="top" wrapText="1"/>
    </xf>
    <xf numFmtId="0" fontId="2" fillId="4" borderId="22" xfId="0" applyFont="1" applyFill="1" applyBorder="1" applyAlignment="1">
      <alignment horizontal="center" vertical="center"/>
    </xf>
    <xf numFmtId="0" fontId="6" fillId="0" borderId="11"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25"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43"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2" borderId="39" xfId="0" applyFont="1" applyFill="1" applyBorder="1" applyAlignment="1">
      <alignment wrapText="1"/>
    </xf>
    <xf numFmtId="0" fontId="6" fillId="0" borderId="11" xfId="0" applyFont="1" applyBorder="1" applyAlignment="1">
      <alignment horizontal="center" vertical="center"/>
      <extLst>
        <ext xmlns:xfpb="http://schemas.microsoft.com/office/spreadsheetml/2022/featurepropertybag" uri="{C7286773-470A-42A8-94C5-96B5CB345126}">
          <xfpb:xfComplement i="0"/>
        </ext>
      </extLst>
    </xf>
    <xf numFmtId="0" fontId="6" fillId="0" borderId="25" xfId="0" applyFont="1" applyBorder="1" applyAlignment="1">
      <alignment horizontal="center" vertical="center"/>
      <extLst>
        <ext xmlns:xfpb="http://schemas.microsoft.com/office/spreadsheetml/2022/featurepropertybag" uri="{C7286773-470A-42A8-94C5-96B5CB345126}">
          <xfpb:xfComplement i="0"/>
        </ext>
      </extLst>
    </xf>
    <xf numFmtId="0" fontId="6" fillId="0" borderId="43" xfId="0" applyFont="1" applyBorder="1" applyAlignment="1">
      <alignment horizontal="center" vertical="center"/>
      <extLst>
        <ext xmlns:xfpb="http://schemas.microsoft.com/office/spreadsheetml/2022/featurepropertybag" uri="{C7286773-470A-42A8-94C5-96B5CB345126}">
          <xfpb:xfComplement i="0"/>
        </ext>
      </extLst>
    </xf>
    <xf numFmtId="0" fontId="6" fillId="2" borderId="39" xfId="0" applyFont="1" applyFill="1" applyBorder="1"/>
    <xf numFmtId="0" fontId="6" fillId="3" borderId="39" xfId="0" applyFont="1" applyFill="1" applyBorder="1"/>
    <xf numFmtId="0" fontId="6" fillId="0" borderId="44" xfId="0" applyFont="1" applyBorder="1" applyAlignment="1">
      <alignment horizontal="center" vertical="center"/>
      <extLst>
        <ext xmlns:xfpb="http://schemas.microsoft.com/office/spreadsheetml/2022/featurepropertybag" uri="{C7286773-470A-42A8-94C5-96B5CB345126}">
          <xfpb:xfComplement i="0"/>
        </ext>
      </extLst>
    </xf>
    <xf numFmtId="0" fontId="6" fillId="4" borderId="39" xfId="0" applyFont="1" applyFill="1" applyBorder="1"/>
    <xf numFmtId="0" fontId="4" fillId="0" borderId="13"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3"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41" xfId="0" applyFont="1" applyFill="1" applyBorder="1" applyAlignment="1">
      <alignment wrapText="1"/>
    </xf>
    <xf numFmtId="0" fontId="4" fillId="0" borderId="13"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23"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15" xfId="0" applyFont="1" applyBorder="1" applyAlignment="1">
      <alignment horizontal="center" vertical="center"/>
      <extLst>
        <ext xmlns:xfpb="http://schemas.microsoft.com/office/spreadsheetml/2022/featurepropertybag" uri="{C7286773-470A-42A8-94C5-96B5CB345126}">
          <xfpb:xfComplement i="0"/>
        </ext>
      </extLst>
    </xf>
    <xf numFmtId="0" fontId="4" fillId="2" borderId="41" xfId="0" applyFont="1" applyFill="1" applyBorder="1"/>
    <xf numFmtId="0" fontId="4" fillId="3" borderId="41" xfId="0" applyFont="1" applyFill="1" applyBorder="1"/>
    <xf numFmtId="0" fontId="4" fillId="0" borderId="45" xfId="0" applyFont="1" applyBorder="1" applyAlignment="1">
      <alignment horizontal="center" vertical="center"/>
      <extLst>
        <ext xmlns:xfpb="http://schemas.microsoft.com/office/spreadsheetml/2022/featurepropertybag" uri="{C7286773-470A-42A8-94C5-96B5CB345126}">
          <xfpb:xfComplement i="0"/>
        </ext>
      </extLst>
    </xf>
    <xf numFmtId="0" fontId="4" fillId="4" borderId="41" xfId="0" applyFont="1" applyFill="1" applyBorder="1"/>
    <xf numFmtId="0" fontId="3" fillId="6" borderId="28" xfId="0" applyFont="1" applyFill="1" applyBorder="1" applyAlignment="1">
      <alignment horizontal="center" vertical="center"/>
    </xf>
    <xf numFmtId="0" fontId="3" fillId="6" borderId="29" xfId="0" applyFont="1" applyFill="1" applyBorder="1" applyAlignment="1">
      <alignment horizontal="center" vertical="top" wrapText="1"/>
    </xf>
    <xf numFmtId="0" fontId="3" fillId="6" borderId="30" xfId="0" applyFont="1" applyFill="1" applyBorder="1" applyAlignment="1">
      <alignment horizontal="center" vertical="top" wrapText="1"/>
    </xf>
    <xf numFmtId="0" fontId="2" fillId="5" borderId="40" xfId="0" applyFont="1" applyFill="1" applyBorder="1" applyAlignment="1">
      <alignment horizontal="center" vertical="center"/>
    </xf>
    <xf numFmtId="0" fontId="2" fillId="5" borderId="41" xfId="0" applyFont="1" applyFill="1" applyBorder="1" applyAlignment="1">
      <alignment horizontal="center" vertical="center"/>
    </xf>
    <xf numFmtId="0" fontId="5" fillId="2" borderId="39" xfId="0" applyFont="1" applyFill="1" applyBorder="1" applyAlignment="1">
      <alignment horizontal="center" vertical="center"/>
    </xf>
    <xf numFmtId="0" fontId="5" fillId="3" borderId="39" xfId="0" applyFont="1" applyFill="1" applyBorder="1" applyAlignment="1">
      <alignment horizontal="center" vertical="center"/>
    </xf>
    <xf numFmtId="0" fontId="5" fillId="4" borderId="39" xfId="0" applyFont="1" applyFill="1" applyBorder="1" applyAlignment="1">
      <alignment horizontal="center" vertical="center"/>
    </xf>
    <xf numFmtId="0" fontId="7" fillId="1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13" borderId="25"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12" borderId="25" xfId="0" applyFont="1" applyFill="1" applyBorder="1" applyAlignment="1">
      <alignment horizontal="center" vertical="center" wrapText="1"/>
    </xf>
    <xf numFmtId="0" fontId="7" fillId="12" borderId="43"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15" xfId="0" applyFont="1" applyFill="1" applyBorder="1" applyAlignment="1">
      <alignment horizontal="center" vertical="center" wrapText="1"/>
    </xf>
    <xf numFmtId="0" fontId="2" fillId="6" borderId="39" xfId="0" applyFont="1" applyFill="1" applyBorder="1" applyAlignment="1">
      <alignment horizontal="center" vertical="center" textRotation="90"/>
    </xf>
    <xf numFmtId="0" fontId="2" fillId="6" borderId="40" xfId="0" applyFont="1" applyFill="1" applyBorder="1" applyAlignment="1">
      <alignment horizontal="center" vertical="center" textRotation="90" wrapText="1"/>
    </xf>
    <xf numFmtId="0" fontId="2" fillId="6" borderId="40" xfId="0" applyFont="1" applyFill="1" applyBorder="1" applyAlignment="1">
      <alignment horizontal="center" vertical="center" wrapText="1"/>
    </xf>
    <xf numFmtId="0" fontId="2" fillId="6" borderId="33" xfId="0" applyFont="1" applyFill="1" applyBorder="1" applyAlignment="1">
      <alignment horizontal="center" vertical="center" wrapText="1"/>
    </xf>
    <xf numFmtId="0" fontId="2" fillId="6" borderId="41" xfId="0" applyFont="1" applyFill="1" applyBorder="1" applyAlignment="1">
      <alignment horizontal="center" vertical="center" textRotation="90" wrapText="1"/>
    </xf>
    <xf numFmtId="0" fontId="2" fillId="6" borderId="36" xfId="0" applyFont="1" applyFill="1" applyBorder="1" applyAlignment="1">
      <alignment horizontal="center" vertical="center" wrapText="1"/>
    </xf>
    <xf numFmtId="0" fontId="0" fillId="5" borderId="35" xfId="0" applyFill="1" applyBorder="1" applyAlignment="1">
      <alignment vertical="top" wrapText="1"/>
    </xf>
    <xf numFmtId="0" fontId="6" fillId="5" borderId="1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5" borderId="13"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5" borderId="10" xfId="0" applyFill="1" applyBorder="1" applyAlignment="1">
      <alignment vertical="top" wrapText="1"/>
    </xf>
    <xf numFmtId="0" fontId="6" fillId="5" borderId="25"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5" borderId="23"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5" borderId="47" xfId="0" applyFill="1" applyBorder="1" applyAlignment="1">
      <alignment vertical="top" wrapText="1"/>
    </xf>
    <xf numFmtId="0" fontId="6" fillId="5"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5" borderId="15"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5" borderId="0" xfId="0" applyFont="1" applyFill="1" applyAlignment="1">
      <alignment horizontal="center" vertical="center"/>
    </xf>
    <xf numFmtId="0" fontId="0" fillId="5" borderId="0" xfId="0" applyFill="1" applyAlignment="1">
      <alignment vertical="top" wrapText="1"/>
    </xf>
    <xf numFmtId="0" fontId="0" fillId="5" borderId="0" xfId="0" applyFill="1" applyAlignment="1">
      <alignment wrapText="1"/>
    </xf>
    <xf numFmtId="0" fontId="0" fillId="5" borderId="20" xfId="0" applyFill="1" applyBorder="1"/>
    <xf numFmtId="0" fontId="2" fillId="5" borderId="20" xfId="0" applyFont="1" applyFill="1" applyBorder="1" applyAlignment="1">
      <alignment horizontal="center" vertical="center"/>
    </xf>
    <xf numFmtId="0" fontId="0" fillId="5" borderId="20" xfId="0" applyFill="1" applyBorder="1" applyAlignment="1">
      <alignment horizontal="center" vertical="center"/>
    </xf>
    <xf numFmtId="9" fontId="2" fillId="5" borderId="20" xfId="1" applyFont="1" applyFill="1" applyBorder="1"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vertical="center" wrapText="1"/>
    </xf>
    <xf numFmtId="0" fontId="2" fillId="5" borderId="0" xfId="0" applyFont="1" applyFill="1"/>
    <xf numFmtId="0" fontId="0" fillId="5" borderId="0" xfId="0" applyFill="1" applyAlignment="1">
      <alignment vertical="center" wrapText="1"/>
    </xf>
    <xf numFmtId="0" fontId="0" fillId="5" borderId="1" xfId="0" applyFill="1" applyBorder="1"/>
    <xf numFmtId="0" fontId="2" fillId="2" borderId="1" xfId="0" applyFont="1" applyFill="1" applyBorder="1" applyAlignment="1">
      <alignment horizontal="center"/>
    </xf>
    <xf numFmtId="0" fontId="2" fillId="2" borderId="23" xfId="0" applyFont="1" applyFill="1" applyBorder="1" applyAlignment="1">
      <alignment horizontal="center"/>
    </xf>
    <xf numFmtId="0" fontId="2" fillId="3" borderId="1" xfId="0" applyFont="1" applyFill="1" applyBorder="1" applyAlignment="1">
      <alignment horizontal="center"/>
    </xf>
    <xf numFmtId="0" fontId="2" fillId="3" borderId="23" xfId="0" applyFont="1" applyFill="1" applyBorder="1" applyAlignment="1">
      <alignment horizontal="center"/>
    </xf>
    <xf numFmtId="0" fontId="2" fillId="4" borderId="4" xfId="0" applyFont="1" applyFill="1" applyBorder="1" applyAlignment="1">
      <alignment horizontal="center"/>
    </xf>
    <xf numFmtId="0" fontId="2" fillId="4" borderId="45" xfId="0" applyFont="1" applyFill="1" applyBorder="1" applyAlignment="1">
      <alignment horizontal="center"/>
    </xf>
    <xf numFmtId="0" fontId="2" fillId="2" borderId="5" xfId="0" applyFont="1" applyFill="1" applyBorder="1" applyAlignment="1">
      <alignment horizontal="center"/>
    </xf>
    <xf numFmtId="0" fontId="2" fillId="2" borderId="31" xfId="0" applyFont="1" applyFill="1" applyBorder="1" applyAlignment="1">
      <alignment horizontal="center"/>
    </xf>
    <xf numFmtId="0" fontId="3" fillId="6" borderId="40" xfId="0" applyFont="1" applyFill="1" applyBorder="1"/>
    <xf numFmtId="0" fontId="3" fillId="6" borderId="41" xfId="0" applyFont="1" applyFill="1" applyBorder="1"/>
    <xf numFmtId="0" fontId="3" fillId="6" borderId="34" xfId="0" applyFont="1" applyFill="1" applyBorder="1"/>
    <xf numFmtId="0" fontId="2" fillId="2" borderId="6" xfId="0" applyFont="1" applyFill="1" applyBorder="1" applyAlignment="1">
      <alignment horizontal="center"/>
    </xf>
    <xf numFmtId="0" fontId="2" fillId="2" borderId="3" xfId="0" applyFont="1" applyFill="1" applyBorder="1" applyAlignment="1">
      <alignment horizontal="center"/>
    </xf>
    <xf numFmtId="0" fontId="2" fillId="3" borderId="3" xfId="0" applyFont="1" applyFill="1" applyBorder="1" applyAlignment="1">
      <alignment horizontal="center"/>
    </xf>
    <xf numFmtId="0" fontId="2" fillId="4" borderId="19" xfId="0" applyFont="1" applyFill="1" applyBorder="1" applyAlignment="1">
      <alignment horizontal="center"/>
    </xf>
    <xf numFmtId="0" fontId="3" fillId="6" borderId="22" xfId="0" applyFont="1" applyFill="1" applyBorder="1"/>
    <xf numFmtId="0" fontId="2" fillId="2" borderId="52" xfId="0" applyFont="1" applyFill="1" applyBorder="1"/>
    <xf numFmtId="0" fontId="2" fillId="2" borderId="37" xfId="0" applyFont="1" applyFill="1" applyBorder="1"/>
    <xf numFmtId="0" fontId="2" fillId="3" borderId="37" xfId="0" applyFont="1" applyFill="1" applyBorder="1"/>
    <xf numFmtId="0" fontId="2" fillId="4" borderId="46" xfId="0" applyFont="1" applyFill="1" applyBorder="1"/>
    <xf numFmtId="0" fontId="9" fillId="6" borderId="22" xfId="0" applyFont="1" applyFill="1" applyBorder="1" applyAlignment="1">
      <alignment horizontal="left" vertical="center"/>
    </xf>
    <xf numFmtId="0" fontId="2" fillId="6" borderId="53" xfId="0" applyFont="1" applyFill="1" applyBorder="1" applyAlignment="1">
      <alignment horizontal="center" vertical="center" wrapText="1"/>
    </xf>
    <xf numFmtId="9" fontId="2" fillId="10" borderId="48" xfId="1" applyFont="1" applyFill="1" applyBorder="1" applyAlignment="1">
      <alignment horizontal="left" vertical="top" wrapText="1"/>
    </xf>
    <xf numFmtId="9" fontId="2" fillId="10" borderId="49" xfId="1" applyFont="1" applyFill="1" applyBorder="1" applyAlignment="1">
      <alignment horizontal="left" vertical="top" wrapText="1"/>
    </xf>
    <xf numFmtId="9" fontId="2" fillId="10" borderId="50" xfId="1" applyFont="1" applyFill="1" applyBorder="1" applyAlignment="1">
      <alignment horizontal="left" vertical="top" wrapText="1"/>
    </xf>
    <xf numFmtId="9" fontId="2" fillId="10" borderId="51" xfId="1" applyFont="1" applyFill="1" applyBorder="1" applyAlignment="1">
      <alignment horizontal="left" vertical="top" wrapText="1"/>
    </xf>
    <xf numFmtId="9" fontId="2" fillId="5" borderId="20" xfId="1" applyFont="1" applyFill="1" applyBorder="1" applyAlignment="1">
      <alignment horizontal="left" vertical="top" wrapText="1"/>
    </xf>
    <xf numFmtId="0" fontId="2" fillId="5" borderId="0" xfId="0" applyFont="1" applyFill="1" applyAlignment="1">
      <alignment horizontal="left" vertical="top" wrapText="1"/>
    </xf>
    <xf numFmtId="0" fontId="0" fillId="0" borderId="0" xfId="0" applyAlignment="1">
      <alignment vertical="center" wrapText="1"/>
    </xf>
    <xf numFmtId="0" fontId="7" fillId="12" borderId="1" xfId="0" applyFont="1" applyFill="1" applyBorder="1" applyAlignment="1">
      <alignment horizontal="center" vertical="center" wrapText="1"/>
    </xf>
    <xf numFmtId="0" fontId="7" fillId="13" borderId="12" xfId="0" applyFont="1" applyFill="1" applyBorder="1" applyAlignment="1">
      <alignment horizontal="center" vertical="center" wrapText="1"/>
    </xf>
    <xf numFmtId="0" fontId="7" fillId="13" borderId="23" xfId="0" applyFont="1" applyFill="1" applyBorder="1" applyAlignment="1">
      <alignment horizontal="center" vertical="center" wrapText="1"/>
    </xf>
    <xf numFmtId="0" fontId="2" fillId="4" borderId="29" xfId="0" applyFont="1" applyFill="1" applyBorder="1" applyAlignment="1">
      <alignment vertical="center" wrapText="1"/>
    </xf>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9" fontId="2" fillId="10" borderId="23" xfId="1" applyFont="1" applyFill="1" applyBorder="1" applyAlignment="1">
      <alignment horizontal="left" vertical="top" wrapText="1"/>
    </xf>
    <xf numFmtId="9" fontId="2" fillId="10" borderId="15" xfId="1" applyFont="1" applyFill="1" applyBorder="1" applyAlignment="1">
      <alignment horizontal="left" vertical="top" wrapText="1"/>
    </xf>
    <xf numFmtId="9" fontId="2" fillId="10" borderId="37" xfId="1" applyFont="1" applyFill="1" applyBorder="1" applyAlignment="1">
      <alignment horizontal="left" vertical="top" wrapText="1"/>
    </xf>
    <xf numFmtId="9" fontId="2" fillId="10" borderId="42" xfId="1" applyFont="1" applyFill="1" applyBorder="1" applyAlignment="1">
      <alignment horizontal="left" vertical="top" wrapText="1"/>
    </xf>
    <xf numFmtId="0" fontId="13" fillId="15" borderId="54" xfId="0" applyFont="1" applyFill="1" applyBorder="1" applyAlignment="1">
      <alignment horizontal="left" vertical="top" wrapText="1"/>
    </xf>
    <xf numFmtId="0" fontId="15" fillId="14" borderId="54" xfId="2" applyFill="1" applyBorder="1" applyAlignment="1">
      <alignment horizontal="left" vertical="top" wrapText="1"/>
    </xf>
    <xf numFmtId="0" fontId="14" fillId="14" borderId="54" xfId="0" applyFont="1" applyFill="1" applyBorder="1" applyAlignment="1">
      <alignment horizontal="left" vertical="top" wrapText="1"/>
    </xf>
    <xf numFmtId="0" fontId="14" fillId="14" borderId="55" xfId="0" applyFont="1" applyFill="1" applyBorder="1" applyAlignment="1">
      <alignment horizontal="left" vertical="top" wrapText="1"/>
    </xf>
    <xf numFmtId="0" fontId="14" fillId="14" borderId="56" xfId="0" applyFont="1" applyFill="1" applyBorder="1" applyAlignment="1">
      <alignment horizontal="left" vertical="top" wrapText="1"/>
    </xf>
    <xf numFmtId="0" fontId="14" fillId="14" borderId="57" xfId="0" applyFont="1" applyFill="1" applyBorder="1" applyAlignment="1">
      <alignment horizontal="left" vertical="top" wrapText="1"/>
    </xf>
    <xf numFmtId="0" fontId="0" fillId="14" borderId="56" xfId="0" applyFill="1" applyBorder="1" applyAlignment="1">
      <alignment horizontal="left" vertical="top" wrapText="1"/>
    </xf>
    <xf numFmtId="0" fontId="15" fillId="15" borderId="54" xfId="2" applyFill="1" applyBorder="1" applyAlignment="1">
      <alignment horizontal="left" vertical="top" wrapText="1"/>
    </xf>
    <xf numFmtId="0" fontId="14" fillId="15" borderId="54" xfId="0" applyFont="1" applyFill="1" applyBorder="1" applyAlignment="1">
      <alignment horizontal="left" vertical="top" wrapText="1"/>
    </xf>
    <xf numFmtId="0" fontId="15" fillId="14" borderId="55" xfId="2" applyFill="1" applyBorder="1" applyAlignment="1">
      <alignment vertical="top" wrapText="1"/>
    </xf>
    <xf numFmtId="0" fontId="15" fillId="14" borderId="56" xfId="2" applyFill="1" applyBorder="1" applyAlignment="1">
      <alignment vertical="top" wrapText="1"/>
    </xf>
    <xf numFmtId="0" fontId="15" fillId="14" borderId="57" xfId="2" applyFill="1" applyBorder="1" applyAlignment="1">
      <alignment vertical="top" wrapText="1"/>
    </xf>
    <xf numFmtId="0" fontId="14" fillId="14" borderId="55" xfId="0" applyFont="1" applyFill="1" applyBorder="1" applyAlignment="1">
      <alignment vertical="top" wrapText="1"/>
    </xf>
    <xf numFmtId="0" fontId="14" fillId="14" borderId="56" xfId="0" applyFont="1" applyFill="1" applyBorder="1" applyAlignment="1">
      <alignment vertical="top" wrapText="1"/>
    </xf>
    <xf numFmtId="0" fontId="14" fillId="14" borderId="57" xfId="0" applyFont="1" applyFill="1" applyBorder="1" applyAlignment="1">
      <alignment vertical="top" wrapText="1"/>
    </xf>
    <xf numFmtId="0" fontId="3" fillId="6" borderId="42" xfId="0" applyFont="1" applyFill="1" applyBorder="1"/>
    <xf numFmtId="0" fontId="3" fillId="6" borderId="52" xfId="0" applyFont="1" applyFill="1" applyBorder="1"/>
    <xf numFmtId="0" fontId="3" fillId="6" borderId="59" xfId="0" applyFont="1" applyFill="1" applyBorder="1"/>
    <xf numFmtId="0" fontId="2" fillId="7" borderId="8"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7" borderId="7" xfId="0" applyFont="1" applyFill="1" applyBorder="1" applyAlignment="1">
      <alignment horizontal="center" vertical="center"/>
    </xf>
    <xf numFmtId="0" fontId="2" fillId="11" borderId="14" xfId="0" applyFont="1" applyFill="1" applyBorder="1" applyAlignment="1">
      <alignment horizontal="center" vertical="center" wrapText="1"/>
    </xf>
    <xf numFmtId="0" fontId="2" fillId="7" borderId="0" xfId="0" applyFont="1" applyFill="1" applyAlignment="1">
      <alignment horizontal="center" vertical="center" wrapText="1"/>
    </xf>
    <xf numFmtId="2" fontId="8" fillId="5" borderId="29" xfId="0" applyNumberFormat="1" applyFont="1" applyFill="1" applyBorder="1" applyAlignment="1">
      <alignment horizontal="center" vertical="center"/>
    </xf>
    <xf numFmtId="2" fontId="8" fillId="5" borderId="30" xfId="0" applyNumberFormat="1" applyFont="1" applyFill="1" applyBorder="1" applyAlignment="1">
      <alignment horizontal="center" vertical="center"/>
    </xf>
    <xf numFmtId="0" fontId="0" fillId="10" borderId="27" xfId="0" applyFill="1" applyBorder="1" applyAlignment="1">
      <alignment horizontal="right" wrapText="1"/>
    </xf>
    <xf numFmtId="0" fontId="0" fillId="10" borderId="58" xfId="0" applyFill="1" applyBorder="1" applyAlignment="1">
      <alignment horizontal="right" wrapText="1"/>
    </xf>
    <xf numFmtId="165" fontId="0" fillId="10" borderId="61" xfId="0" applyNumberFormat="1" applyFill="1" applyBorder="1" applyAlignment="1">
      <alignment horizontal="right"/>
    </xf>
    <xf numFmtId="165" fontId="0" fillId="10" borderId="9" xfId="0" applyNumberFormat="1" applyFill="1" applyBorder="1" applyAlignment="1">
      <alignment horizontal="right"/>
    </xf>
    <xf numFmtId="165" fontId="0" fillId="10" borderId="62" xfId="0" applyNumberFormat="1" applyFill="1" applyBorder="1" applyAlignment="1">
      <alignment horizontal="right"/>
    </xf>
    <xf numFmtId="0" fontId="0" fillId="10" borderId="61" xfId="0" applyFill="1" applyBorder="1" applyAlignment="1">
      <alignment horizontal="right"/>
    </xf>
    <xf numFmtId="0" fontId="0" fillId="10" borderId="9" xfId="0" applyFill="1" applyBorder="1" applyAlignment="1">
      <alignment horizontal="right"/>
    </xf>
    <xf numFmtId="0" fontId="0" fillId="10" borderId="62" xfId="0" applyFill="1" applyBorder="1" applyAlignment="1">
      <alignment horizontal="right"/>
    </xf>
    <xf numFmtId="0" fontId="0" fillId="10" borderId="60" xfId="0" applyFill="1" applyBorder="1" applyAlignment="1">
      <alignment horizontal="right"/>
    </xf>
    <xf numFmtId="0" fontId="0" fillId="10" borderId="35" xfId="0" applyFill="1" applyBorder="1" applyAlignment="1">
      <alignment horizontal="right"/>
    </xf>
    <xf numFmtId="0" fontId="0" fillId="10" borderId="48" xfId="0" applyFill="1" applyBorder="1" applyAlignment="1">
      <alignment horizontal="right"/>
    </xf>
    <xf numFmtId="0" fontId="3" fillId="6" borderId="42" xfId="0" applyFont="1" applyFill="1" applyBorder="1" applyAlignment="1">
      <alignment horizontal="center" vertical="center" textRotation="90"/>
    </xf>
    <xf numFmtId="0" fontId="3" fillId="6" borderId="37" xfId="0" applyFont="1" applyFill="1" applyBorder="1" applyAlignment="1">
      <alignment horizontal="center" vertical="center" textRotation="90"/>
    </xf>
    <xf numFmtId="0" fontId="3" fillId="6" borderId="38" xfId="0" applyFont="1" applyFill="1" applyBorder="1" applyAlignment="1">
      <alignment horizontal="center" vertical="center" textRotation="90"/>
    </xf>
    <xf numFmtId="0" fontId="3" fillId="6" borderId="46" xfId="0" applyFont="1" applyFill="1" applyBorder="1" applyAlignment="1">
      <alignment horizontal="center" vertical="center" textRotation="90"/>
    </xf>
    <xf numFmtId="0" fontId="3" fillId="6" borderId="42" xfId="0" applyFont="1" applyFill="1" applyBorder="1" applyAlignment="1">
      <alignment horizontal="center" vertical="center" textRotation="90" wrapText="1"/>
    </xf>
    <xf numFmtId="0" fontId="3" fillId="6" borderId="37" xfId="0" applyFont="1" applyFill="1" applyBorder="1" applyAlignment="1">
      <alignment horizontal="center" vertical="center" textRotation="90" wrapText="1"/>
    </xf>
    <xf numFmtId="0" fontId="3" fillId="6" borderId="38" xfId="0" applyFont="1" applyFill="1" applyBorder="1" applyAlignment="1">
      <alignment horizontal="center" vertical="center" textRotation="90" wrapText="1"/>
    </xf>
    <xf numFmtId="0" fontId="5" fillId="5" borderId="0" xfId="0" applyFont="1" applyFill="1" applyAlignment="1">
      <alignment horizontal="center" vertical="top"/>
    </xf>
    <xf numFmtId="0" fontId="5" fillId="5" borderId="0" xfId="0" applyFont="1" applyFill="1" applyAlignment="1">
      <alignment horizontal="right" vertical="center" textRotation="90" wrapText="1"/>
    </xf>
    <xf numFmtId="0" fontId="2" fillId="11" borderId="4" xfId="0" applyFont="1" applyFill="1" applyBorder="1" applyAlignment="1">
      <alignment horizontal="center" vertical="center"/>
    </xf>
    <xf numFmtId="0" fontId="2" fillId="11" borderId="17" xfId="0" applyFont="1" applyFill="1" applyBorder="1" applyAlignment="1">
      <alignment horizontal="center" vertical="center"/>
    </xf>
    <xf numFmtId="0" fontId="2" fillId="11" borderId="5" xfId="0" applyFont="1" applyFill="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0" fillId="9" borderId="1" xfId="0" applyFill="1" applyBorder="1" applyAlignment="1">
      <alignment horizontal="center" vertical="center"/>
    </xf>
    <xf numFmtId="0" fontId="2" fillId="11" borderId="1" xfId="0" applyFont="1" applyFill="1" applyBorder="1" applyAlignment="1">
      <alignment horizontal="center" vertical="center"/>
    </xf>
    <xf numFmtId="0" fontId="0" fillId="9" borderId="4" xfId="0" applyFill="1" applyBorder="1" applyAlignment="1">
      <alignment horizontal="center" vertical="center"/>
    </xf>
    <xf numFmtId="0" fontId="0" fillId="9" borderId="17" xfId="0" applyFill="1" applyBorder="1" applyAlignment="1">
      <alignment horizontal="center" vertical="center"/>
    </xf>
    <xf numFmtId="0" fontId="0" fillId="9" borderId="5" xfId="0" applyFill="1" applyBorder="1" applyAlignment="1">
      <alignment horizontal="center" vertical="center"/>
    </xf>
    <xf numFmtId="9" fontId="2" fillId="4" borderId="21" xfId="1" applyFont="1" applyFill="1" applyBorder="1" applyAlignment="1">
      <alignment horizontal="center" vertical="center"/>
    </xf>
    <xf numFmtId="9" fontId="2" fillId="4" borderId="23" xfId="1" applyFont="1" applyFill="1" applyBorder="1" applyAlignment="1">
      <alignment horizontal="center" vertical="center"/>
    </xf>
    <xf numFmtId="9" fontId="2" fillId="4" borderId="15" xfId="1" applyFont="1" applyFill="1" applyBorder="1" applyAlignment="1">
      <alignment horizontal="center" vertical="center"/>
    </xf>
    <xf numFmtId="9" fontId="2" fillId="3" borderId="13" xfId="1" applyFont="1" applyFill="1" applyBorder="1" applyAlignment="1">
      <alignment horizontal="center" vertical="center"/>
    </xf>
    <xf numFmtId="9" fontId="2" fillId="3" borderId="23" xfId="1" applyFont="1" applyFill="1" applyBorder="1" applyAlignment="1">
      <alignment horizontal="center" vertical="center"/>
    </xf>
    <xf numFmtId="0" fontId="2" fillId="0" borderId="1" xfId="0" applyFont="1" applyBorder="1" applyAlignment="1">
      <alignment horizontal="left"/>
    </xf>
    <xf numFmtId="9" fontId="2" fillId="2" borderId="13" xfId="1" applyFont="1" applyFill="1" applyBorder="1" applyAlignment="1">
      <alignment horizontal="center" vertical="center"/>
    </xf>
    <xf numFmtId="9" fontId="2" fillId="2" borderId="23" xfId="1" applyFont="1" applyFill="1" applyBorder="1" applyAlignment="1">
      <alignment horizontal="center" vertical="center"/>
    </xf>
    <xf numFmtId="9" fontId="2" fillId="2" borderId="15" xfId="1" applyFont="1" applyFill="1" applyBorder="1" applyAlignment="1">
      <alignment horizontal="center" vertical="center"/>
    </xf>
    <xf numFmtId="0" fontId="2" fillId="2" borderId="2" xfId="0" applyFont="1" applyFill="1" applyBorder="1" applyAlignment="1">
      <alignment horizontal="left"/>
    </xf>
    <xf numFmtId="0" fontId="2" fillId="2" borderId="10" xfId="0" applyFont="1" applyFill="1" applyBorder="1" applyAlignment="1">
      <alignment horizontal="left"/>
    </xf>
    <xf numFmtId="0" fontId="2" fillId="2" borderId="3" xfId="0" applyFont="1" applyFill="1" applyBorder="1" applyAlignment="1">
      <alignment horizontal="left"/>
    </xf>
    <xf numFmtId="0" fontId="2" fillId="3" borderId="21" xfId="0" applyFont="1" applyFill="1" applyBorder="1" applyAlignment="1">
      <alignment horizontal="left"/>
    </xf>
    <xf numFmtId="0" fontId="2" fillId="3" borderId="35" xfId="0" applyFont="1" applyFill="1" applyBorder="1" applyAlignment="1">
      <alignment horizontal="left"/>
    </xf>
    <xf numFmtId="0" fontId="2" fillId="3" borderId="32" xfId="0" applyFont="1" applyFill="1" applyBorder="1" applyAlignment="1">
      <alignment horizontal="left"/>
    </xf>
    <xf numFmtId="0" fontId="2" fillId="0" borderId="2" xfId="0" applyFont="1" applyBorder="1" applyAlignment="1">
      <alignment horizontal="left" wrapText="1"/>
    </xf>
    <xf numFmtId="0" fontId="2" fillId="0" borderId="3" xfId="0" applyFont="1" applyBorder="1" applyAlignment="1">
      <alignment horizontal="left" wrapText="1"/>
    </xf>
    <xf numFmtId="0" fontId="2" fillId="6" borderId="33" xfId="0" applyFont="1" applyFill="1" applyBorder="1" applyAlignment="1">
      <alignment horizontal="center" vertical="center"/>
    </xf>
    <xf numFmtId="0" fontId="2" fillId="6" borderId="29" xfId="0" applyFont="1" applyFill="1" applyBorder="1" applyAlignment="1">
      <alignment horizontal="center" vertical="center"/>
    </xf>
    <xf numFmtId="0" fontId="2" fillId="6" borderId="34" xfId="0" applyFont="1" applyFill="1" applyBorder="1" applyAlignment="1">
      <alignment horizontal="center" vertical="center"/>
    </xf>
    <xf numFmtId="0" fontId="2" fillId="0" borderId="18" xfId="0" applyFont="1" applyBorder="1" applyAlignment="1">
      <alignment horizontal="left"/>
    </xf>
    <xf numFmtId="0" fontId="2" fillId="0" borderId="19" xfId="0" applyFont="1" applyBorder="1" applyAlignment="1">
      <alignment horizontal="left"/>
    </xf>
    <xf numFmtId="0" fontId="2" fillId="2" borderId="21" xfId="0" applyFont="1" applyFill="1" applyBorder="1" applyAlignment="1">
      <alignment horizontal="left"/>
    </xf>
    <xf numFmtId="0" fontId="2" fillId="2" borderId="35" xfId="0" applyFont="1" applyFill="1" applyBorder="1" applyAlignment="1">
      <alignment horizontal="left"/>
    </xf>
    <xf numFmtId="0" fontId="2" fillId="2" borderId="32" xfId="0" applyFont="1" applyFill="1" applyBorder="1" applyAlignment="1">
      <alignment horizontal="left"/>
    </xf>
    <xf numFmtId="0" fontId="2" fillId="0" borderId="8" xfId="0" applyFont="1" applyBorder="1" applyAlignment="1">
      <alignment horizontal="left"/>
    </xf>
    <xf numFmtId="0" fontId="2" fillId="0" borderId="6" xfId="0" applyFont="1" applyBorder="1" applyAlignment="1">
      <alignment horizontal="left"/>
    </xf>
    <xf numFmtId="0" fontId="0" fillId="9" borderId="14" xfId="0" applyFill="1" applyBorder="1" applyAlignment="1">
      <alignment horizontal="center" vertical="center"/>
    </xf>
    <xf numFmtId="0" fontId="2" fillId="11" borderId="14" xfId="0" applyFont="1" applyFill="1" applyBorder="1" applyAlignment="1">
      <alignment horizontal="center" vertical="center"/>
    </xf>
    <xf numFmtId="0" fontId="2" fillId="3" borderId="2" xfId="0" applyFont="1" applyFill="1" applyBorder="1" applyAlignment="1">
      <alignment horizontal="left"/>
    </xf>
    <xf numFmtId="0" fontId="2" fillId="3" borderId="10" xfId="0" applyFont="1" applyFill="1" applyBorder="1" applyAlignment="1">
      <alignment horizontal="left"/>
    </xf>
    <xf numFmtId="0" fontId="2" fillId="3" borderId="3" xfId="0" applyFont="1" applyFill="1" applyBorder="1" applyAlignment="1">
      <alignment horizontal="left"/>
    </xf>
    <xf numFmtId="0" fontId="2" fillId="4" borderId="21" xfId="0" applyFont="1" applyFill="1" applyBorder="1" applyAlignment="1">
      <alignment horizontal="left"/>
    </xf>
    <xf numFmtId="0" fontId="2" fillId="4" borderId="35" xfId="0" applyFont="1" applyFill="1" applyBorder="1" applyAlignment="1">
      <alignment horizontal="left"/>
    </xf>
    <xf numFmtId="0" fontId="2" fillId="4" borderId="32" xfId="0" applyFont="1" applyFill="1" applyBorder="1" applyAlignment="1">
      <alignment horizontal="left"/>
    </xf>
  </cellXfs>
  <cellStyles count="3">
    <cellStyle name="Link" xfId="2" builtinId="8"/>
    <cellStyle name="Normal" xfId="0" builtinId="0"/>
    <cellStyle name="Procent" xfId="1" builtinId="5"/>
  </cellStyles>
  <dxfs count="8">
    <dxf>
      <fill>
        <gradientFill degree="90">
          <stop position="0">
            <color rgb="FFCD7F32"/>
          </stop>
          <stop position="1">
            <color rgb="FF964B00"/>
          </stop>
        </gradientFill>
      </fill>
    </dxf>
    <dxf>
      <fill>
        <gradientFill degree="90">
          <stop position="0">
            <color rgb="FFE0E0E0"/>
          </stop>
          <stop position="1">
            <color rgb="FFA0A0A0"/>
          </stop>
        </gradientFill>
      </fill>
    </dxf>
    <dxf>
      <fill>
        <gradientFill degree="90">
          <stop position="0">
            <color rgb="FFFFE696"/>
          </stop>
          <stop position="1">
            <color rgb="FFCC9903"/>
          </stop>
        </gradientFill>
      </fill>
    </dxf>
    <dxf>
      <fill>
        <gradientFill degree="90">
          <stop position="0">
            <color rgb="FFE6F0FF"/>
          </stop>
          <stop position="1">
            <color rgb="FFB4C8DC"/>
          </stop>
        </gradientFill>
      </fill>
    </dxf>
    <dxf>
      <font>
        <color auto="1"/>
      </font>
      <fill>
        <patternFill patternType="solid">
          <fgColor auto="1"/>
          <bgColor theme="5" tint="-0.499984740745262"/>
        </patternFill>
      </fill>
    </dxf>
    <dxf>
      <font>
        <color auto="1"/>
      </font>
      <fill>
        <patternFill>
          <bgColor theme="2" tint="-9.9948118533890809E-2"/>
        </patternFill>
      </fill>
    </dxf>
    <dxf>
      <font>
        <color auto="1"/>
      </font>
      <fill>
        <patternFill>
          <bgColor rgb="FFFFC000"/>
        </patternFill>
      </fill>
    </dxf>
    <dxf>
      <font>
        <color auto="1"/>
      </font>
      <fill>
        <patternFill>
          <bgColor theme="4" tint="0.79998168889431442"/>
        </patternFill>
      </fill>
    </dxf>
  </dxfs>
  <tableStyles count="0" defaultTableStyle="TableStyleMedium2" defaultPivotStyle="PivotStyleLight16"/>
  <colors>
    <mruColors>
      <color rgb="FFFFF9C4"/>
      <color rgb="FFB4C8DC"/>
      <color rgb="FFE6F0FF"/>
      <color rgb="FFC8C8C8"/>
      <color rgb="FFF0F0F0"/>
      <color rgb="FFA0A0A0"/>
      <color rgb="FFE0E0E0"/>
      <color rgb="FF964B00"/>
      <color rgb="FFCD7F32"/>
      <color rgb="FFCC99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314324</xdr:colOff>
      <xdr:row>0</xdr:row>
      <xdr:rowOff>85725</xdr:rowOff>
    </xdr:from>
    <xdr:to>
      <xdr:col>12</xdr:col>
      <xdr:colOff>57150</xdr:colOff>
      <xdr:row>23</xdr:row>
      <xdr:rowOff>133349</xdr:rowOff>
    </xdr:to>
    <xdr:pic>
      <xdr:nvPicPr>
        <xdr:cNvPr id="2" name="Billede 1">
          <a:extLst>
            <a:ext uri="{FF2B5EF4-FFF2-40B4-BE49-F238E27FC236}">
              <a16:creationId xmlns:a16="http://schemas.microsoft.com/office/drawing/2014/main" id="{D3472EE7-C741-411B-C6CA-26CD5E9FE2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81874" y="85725"/>
          <a:ext cx="4619626" cy="4619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17" Type="http://schemas.openxmlformats.org/officeDocument/2006/relationships/hyperlink" Target="https://www.dst.dk/websites/extranet/db25/db25.html" TargetMode="External"/><Relationship Id="rId671" Type="http://schemas.openxmlformats.org/officeDocument/2006/relationships/hyperlink" Target="https://www.dst.dk/websites/extranet/db25/db25.html" TargetMode="External"/><Relationship Id="rId21" Type="http://schemas.openxmlformats.org/officeDocument/2006/relationships/hyperlink" Target="https://www.dst.dk/websites/extranet/db25/db25.html" TargetMode="External"/><Relationship Id="rId324" Type="http://schemas.openxmlformats.org/officeDocument/2006/relationships/hyperlink" Target="https://www.dst.dk/websites/extranet/db25/db25.html" TargetMode="External"/><Relationship Id="rId531" Type="http://schemas.openxmlformats.org/officeDocument/2006/relationships/hyperlink" Target="https://www.dst.dk/websites/extranet/db25/db25.html" TargetMode="External"/><Relationship Id="rId629" Type="http://schemas.openxmlformats.org/officeDocument/2006/relationships/hyperlink" Target="https://www.dst.dk/websites/extranet/db25/db25.html" TargetMode="External"/><Relationship Id="rId170" Type="http://schemas.openxmlformats.org/officeDocument/2006/relationships/hyperlink" Target="https://www.dst.dk/websites/extranet/db25/db25.html" TargetMode="External"/><Relationship Id="rId268" Type="http://schemas.openxmlformats.org/officeDocument/2006/relationships/hyperlink" Target="https://www.dst.dk/websites/extranet/db25/db25.html" TargetMode="External"/><Relationship Id="rId475" Type="http://schemas.openxmlformats.org/officeDocument/2006/relationships/hyperlink" Target="https://www.dst.dk/websites/extranet/db25/db25.html" TargetMode="External"/><Relationship Id="rId682" Type="http://schemas.openxmlformats.org/officeDocument/2006/relationships/hyperlink" Target="https://www.dst.dk/websites/extranet/db25/db25.html" TargetMode="External"/><Relationship Id="rId32" Type="http://schemas.openxmlformats.org/officeDocument/2006/relationships/hyperlink" Target="https://www.dst.dk/websites/extranet/db25/db25.html" TargetMode="External"/><Relationship Id="rId128" Type="http://schemas.openxmlformats.org/officeDocument/2006/relationships/hyperlink" Target="https://www.dst.dk/websites/extranet/db25/db25.html" TargetMode="External"/><Relationship Id="rId335" Type="http://schemas.openxmlformats.org/officeDocument/2006/relationships/hyperlink" Target="https://www.dst.dk/websites/extranet/db25/db25.html" TargetMode="External"/><Relationship Id="rId542" Type="http://schemas.openxmlformats.org/officeDocument/2006/relationships/hyperlink" Target="https://www.dst.dk/websites/extranet/db25/db25.html" TargetMode="External"/><Relationship Id="rId181" Type="http://schemas.openxmlformats.org/officeDocument/2006/relationships/hyperlink" Target="https://www.dst.dk/websites/extranet/db25/db25.html" TargetMode="External"/><Relationship Id="rId402" Type="http://schemas.openxmlformats.org/officeDocument/2006/relationships/hyperlink" Target="https://www.dst.dk/websites/extranet/db25/db25.html" TargetMode="External"/><Relationship Id="rId279" Type="http://schemas.openxmlformats.org/officeDocument/2006/relationships/hyperlink" Target="https://www.dst.dk/websites/extranet/db25/db25.html" TargetMode="External"/><Relationship Id="rId486" Type="http://schemas.openxmlformats.org/officeDocument/2006/relationships/hyperlink" Target="https://www.dst.dk/websites/extranet/db25/db25.html" TargetMode="External"/><Relationship Id="rId693" Type="http://schemas.openxmlformats.org/officeDocument/2006/relationships/hyperlink" Target="https://www.dst.dk/websites/extranet/db25/db25.html" TargetMode="External"/><Relationship Id="rId707" Type="http://schemas.openxmlformats.org/officeDocument/2006/relationships/hyperlink" Target="https://www.dst.dk/websites/extranet/db25/db25.html" TargetMode="External"/><Relationship Id="rId43" Type="http://schemas.openxmlformats.org/officeDocument/2006/relationships/hyperlink" Target="https://www.dst.dk/websites/extranet/db25/db25.html" TargetMode="External"/><Relationship Id="rId139" Type="http://schemas.openxmlformats.org/officeDocument/2006/relationships/hyperlink" Target="https://www.dst.dk/websites/extranet/db25/db25.html" TargetMode="External"/><Relationship Id="rId346" Type="http://schemas.openxmlformats.org/officeDocument/2006/relationships/hyperlink" Target="https://www.dst.dk/websites/extranet/db25/db25.html" TargetMode="External"/><Relationship Id="rId553" Type="http://schemas.openxmlformats.org/officeDocument/2006/relationships/hyperlink" Target="https://www.dst.dk/websites/extranet/db25/db25.html" TargetMode="External"/><Relationship Id="rId192" Type="http://schemas.openxmlformats.org/officeDocument/2006/relationships/hyperlink" Target="https://www.dst.dk/websites/extranet/db25/db25.html" TargetMode="External"/><Relationship Id="rId206" Type="http://schemas.openxmlformats.org/officeDocument/2006/relationships/hyperlink" Target="https://www.dst.dk/websites/extranet/db25/db25.html" TargetMode="External"/><Relationship Id="rId413" Type="http://schemas.openxmlformats.org/officeDocument/2006/relationships/hyperlink" Target="https://www.dst.dk/websites/extranet/db25/db25.html" TargetMode="External"/><Relationship Id="rId497" Type="http://schemas.openxmlformats.org/officeDocument/2006/relationships/hyperlink" Target="https://www.dst.dk/websites/extranet/db25/db25.html" TargetMode="External"/><Relationship Id="rId620" Type="http://schemas.openxmlformats.org/officeDocument/2006/relationships/hyperlink" Target="https://www.dst.dk/websites/extranet/db25/db25.html" TargetMode="External"/><Relationship Id="rId718" Type="http://schemas.openxmlformats.org/officeDocument/2006/relationships/hyperlink" Target="https://www.dst.dk/websites/extranet/db25/db25.html" TargetMode="External"/><Relationship Id="rId357" Type="http://schemas.openxmlformats.org/officeDocument/2006/relationships/hyperlink" Target="https://www.dst.dk/websites/extranet/db25/db25.html" TargetMode="External"/><Relationship Id="rId54" Type="http://schemas.openxmlformats.org/officeDocument/2006/relationships/hyperlink" Target="https://www.dst.dk/websites/extranet/db25/db25.html" TargetMode="External"/><Relationship Id="rId217" Type="http://schemas.openxmlformats.org/officeDocument/2006/relationships/hyperlink" Target="https://www.dst.dk/websites/extranet/db25/db25.html" TargetMode="External"/><Relationship Id="rId564" Type="http://schemas.openxmlformats.org/officeDocument/2006/relationships/hyperlink" Target="https://www.dst.dk/websites/extranet/db25/db25.html" TargetMode="External"/><Relationship Id="rId424" Type="http://schemas.openxmlformats.org/officeDocument/2006/relationships/hyperlink" Target="https://www.dst.dk/websites/extranet/db25/db25.html" TargetMode="External"/><Relationship Id="rId631" Type="http://schemas.openxmlformats.org/officeDocument/2006/relationships/hyperlink" Target="https://www.dst.dk/websites/extranet/db25/db25.html" TargetMode="External"/><Relationship Id="rId729" Type="http://schemas.openxmlformats.org/officeDocument/2006/relationships/hyperlink" Target="https://www.dst.dk/websites/extranet/db25/db25.html" TargetMode="External"/><Relationship Id="rId270" Type="http://schemas.openxmlformats.org/officeDocument/2006/relationships/hyperlink" Target="https://www.dst.dk/websites/extranet/db25/db25.html" TargetMode="External"/><Relationship Id="rId65" Type="http://schemas.openxmlformats.org/officeDocument/2006/relationships/hyperlink" Target="https://www.dst.dk/websites/extranet/db25/db25.html" TargetMode="External"/><Relationship Id="rId130" Type="http://schemas.openxmlformats.org/officeDocument/2006/relationships/hyperlink" Target="https://www.dst.dk/websites/extranet/db25/db25.html" TargetMode="External"/><Relationship Id="rId368" Type="http://schemas.openxmlformats.org/officeDocument/2006/relationships/hyperlink" Target="https://www.dst.dk/websites/extranet/db25/db25.html" TargetMode="External"/><Relationship Id="rId575" Type="http://schemas.openxmlformats.org/officeDocument/2006/relationships/hyperlink" Target="https://www.dst.dk/websites/extranet/db25/db25.html" TargetMode="External"/><Relationship Id="rId228" Type="http://schemas.openxmlformats.org/officeDocument/2006/relationships/hyperlink" Target="https://www.dst.dk/websites/extranet/db25/db25.html" TargetMode="External"/><Relationship Id="rId435" Type="http://schemas.openxmlformats.org/officeDocument/2006/relationships/hyperlink" Target="https://www.dst.dk/websites/extranet/db25/db25.html" TargetMode="External"/><Relationship Id="rId642" Type="http://schemas.openxmlformats.org/officeDocument/2006/relationships/hyperlink" Target="https://www.dst.dk/websites/extranet/db25/db25.html" TargetMode="External"/><Relationship Id="rId281" Type="http://schemas.openxmlformats.org/officeDocument/2006/relationships/hyperlink" Target="https://www.dst.dk/websites/extranet/db25/db25.html" TargetMode="External"/><Relationship Id="rId502" Type="http://schemas.openxmlformats.org/officeDocument/2006/relationships/hyperlink" Target="https://www.dst.dk/websites/extranet/db25/db25.html" TargetMode="External"/><Relationship Id="rId76" Type="http://schemas.openxmlformats.org/officeDocument/2006/relationships/hyperlink" Target="https://www.dst.dk/websites/extranet/db25/db25.html" TargetMode="External"/><Relationship Id="rId141" Type="http://schemas.openxmlformats.org/officeDocument/2006/relationships/hyperlink" Target="https://www.dst.dk/websites/extranet/db25/db25.html" TargetMode="External"/><Relationship Id="rId379" Type="http://schemas.openxmlformats.org/officeDocument/2006/relationships/hyperlink" Target="https://www.dst.dk/websites/extranet/db25/db25.html" TargetMode="External"/><Relationship Id="rId586" Type="http://schemas.openxmlformats.org/officeDocument/2006/relationships/hyperlink" Target="https://www.dst.dk/websites/extranet/db25/db25.html" TargetMode="External"/><Relationship Id="rId7" Type="http://schemas.openxmlformats.org/officeDocument/2006/relationships/hyperlink" Target="https://www.dst.dk/websites/extranet/db25/db25.html" TargetMode="External"/><Relationship Id="rId239" Type="http://schemas.openxmlformats.org/officeDocument/2006/relationships/hyperlink" Target="https://www.dst.dk/websites/extranet/db25/db25.html" TargetMode="External"/><Relationship Id="rId446" Type="http://schemas.openxmlformats.org/officeDocument/2006/relationships/hyperlink" Target="https://www.dst.dk/websites/extranet/db25/db25.html" TargetMode="External"/><Relationship Id="rId653" Type="http://schemas.openxmlformats.org/officeDocument/2006/relationships/hyperlink" Target="https://www.dst.dk/websites/extranet/db25/db25.html" TargetMode="External"/><Relationship Id="rId292" Type="http://schemas.openxmlformats.org/officeDocument/2006/relationships/hyperlink" Target="https://www.dst.dk/websites/extranet/db25/db25.html" TargetMode="External"/><Relationship Id="rId306" Type="http://schemas.openxmlformats.org/officeDocument/2006/relationships/hyperlink" Target="https://www.dst.dk/websites/extranet/db25/db25.html" TargetMode="External"/><Relationship Id="rId87" Type="http://schemas.openxmlformats.org/officeDocument/2006/relationships/hyperlink" Target="https://www.dst.dk/websites/extranet/db25/db25.html" TargetMode="External"/><Relationship Id="rId513" Type="http://schemas.openxmlformats.org/officeDocument/2006/relationships/hyperlink" Target="https://www.dst.dk/websites/extranet/db25/db25.html" TargetMode="External"/><Relationship Id="rId597" Type="http://schemas.openxmlformats.org/officeDocument/2006/relationships/hyperlink" Target="https://www.dst.dk/websites/extranet/db25/db25.html" TargetMode="External"/><Relationship Id="rId720" Type="http://schemas.openxmlformats.org/officeDocument/2006/relationships/hyperlink" Target="https://www.dst.dk/websites/extranet/db25/db25.html" TargetMode="External"/><Relationship Id="rId152" Type="http://schemas.openxmlformats.org/officeDocument/2006/relationships/hyperlink" Target="https://www.dst.dk/websites/extranet/db25/db25.html" TargetMode="External"/><Relationship Id="rId457" Type="http://schemas.openxmlformats.org/officeDocument/2006/relationships/hyperlink" Target="https://www.dst.dk/websites/extranet/db25/db25.html" TargetMode="External"/><Relationship Id="rId664" Type="http://schemas.openxmlformats.org/officeDocument/2006/relationships/hyperlink" Target="https://www.dst.dk/websites/extranet/db25/db25.html" TargetMode="External"/><Relationship Id="rId14" Type="http://schemas.openxmlformats.org/officeDocument/2006/relationships/hyperlink" Target="https://www.dst.dk/websites/extranet/db25/db25.html" TargetMode="External"/><Relationship Id="rId317" Type="http://schemas.openxmlformats.org/officeDocument/2006/relationships/hyperlink" Target="https://www.dst.dk/websites/extranet/db25/db25.html" TargetMode="External"/><Relationship Id="rId524" Type="http://schemas.openxmlformats.org/officeDocument/2006/relationships/hyperlink" Target="https://www.dst.dk/websites/extranet/db25/db25.html" TargetMode="External"/><Relationship Id="rId731" Type="http://schemas.openxmlformats.org/officeDocument/2006/relationships/hyperlink" Target="https://www.dst.dk/websites/extranet/db25/db25.html" TargetMode="External"/><Relationship Id="rId98" Type="http://schemas.openxmlformats.org/officeDocument/2006/relationships/hyperlink" Target="https://www.dst.dk/websites/extranet/db25/db25.html" TargetMode="External"/><Relationship Id="rId163" Type="http://schemas.openxmlformats.org/officeDocument/2006/relationships/hyperlink" Target="https://www.dst.dk/websites/extranet/db25/db25.html" TargetMode="External"/><Relationship Id="rId370" Type="http://schemas.openxmlformats.org/officeDocument/2006/relationships/hyperlink" Target="https://www.dst.dk/websites/extranet/db25/db25.html" TargetMode="External"/><Relationship Id="rId230" Type="http://schemas.openxmlformats.org/officeDocument/2006/relationships/hyperlink" Target="https://www.dst.dk/websites/extranet/db25/db25.html" TargetMode="External"/><Relationship Id="rId468" Type="http://schemas.openxmlformats.org/officeDocument/2006/relationships/hyperlink" Target="https://www.dst.dk/websites/extranet/db25/db25.html" TargetMode="External"/><Relationship Id="rId675" Type="http://schemas.openxmlformats.org/officeDocument/2006/relationships/hyperlink" Target="https://www.dst.dk/websites/extranet/db25/db25.html" TargetMode="External"/><Relationship Id="rId25" Type="http://schemas.openxmlformats.org/officeDocument/2006/relationships/hyperlink" Target="https://www.dst.dk/websites/extranet/db25/db25.html" TargetMode="External"/><Relationship Id="rId328" Type="http://schemas.openxmlformats.org/officeDocument/2006/relationships/hyperlink" Target="https://www.dst.dk/websites/extranet/db25/db25.html" TargetMode="External"/><Relationship Id="rId535" Type="http://schemas.openxmlformats.org/officeDocument/2006/relationships/hyperlink" Target="https://www.dst.dk/websites/extranet/db25/db25.html" TargetMode="External"/><Relationship Id="rId174" Type="http://schemas.openxmlformats.org/officeDocument/2006/relationships/hyperlink" Target="https://www.dst.dk/websites/extranet/db25/db25.html" TargetMode="External"/><Relationship Id="rId381" Type="http://schemas.openxmlformats.org/officeDocument/2006/relationships/hyperlink" Target="https://www.dst.dk/websites/extranet/db25/db25.html" TargetMode="External"/><Relationship Id="rId602" Type="http://schemas.openxmlformats.org/officeDocument/2006/relationships/hyperlink" Target="https://www.dst.dk/websites/extranet/db25/db25.html" TargetMode="External"/><Relationship Id="rId241" Type="http://schemas.openxmlformats.org/officeDocument/2006/relationships/hyperlink" Target="https://www.dst.dk/websites/extranet/db25/db25.html" TargetMode="External"/><Relationship Id="rId479" Type="http://schemas.openxmlformats.org/officeDocument/2006/relationships/hyperlink" Target="https://www.dst.dk/websites/extranet/db25/db25.html" TargetMode="External"/><Relationship Id="rId686" Type="http://schemas.openxmlformats.org/officeDocument/2006/relationships/hyperlink" Target="https://www.dst.dk/websites/extranet/db25/db25.html" TargetMode="External"/><Relationship Id="rId36" Type="http://schemas.openxmlformats.org/officeDocument/2006/relationships/hyperlink" Target="https://www.dst.dk/websites/extranet/db25/db25.html" TargetMode="External"/><Relationship Id="rId339" Type="http://schemas.openxmlformats.org/officeDocument/2006/relationships/hyperlink" Target="https://www.dst.dk/websites/extranet/db25/db25.html" TargetMode="External"/><Relationship Id="rId546" Type="http://schemas.openxmlformats.org/officeDocument/2006/relationships/hyperlink" Target="https://www.dst.dk/websites/extranet/db25/db25.html" TargetMode="External"/><Relationship Id="rId101" Type="http://schemas.openxmlformats.org/officeDocument/2006/relationships/hyperlink" Target="https://www.dst.dk/websites/extranet/db25/db25.html" TargetMode="External"/><Relationship Id="rId185" Type="http://schemas.openxmlformats.org/officeDocument/2006/relationships/hyperlink" Target="https://www.dst.dk/websites/extranet/db25/db25.html" TargetMode="External"/><Relationship Id="rId406" Type="http://schemas.openxmlformats.org/officeDocument/2006/relationships/hyperlink" Target="https://www.dst.dk/websites/extranet/db25/db25.html" TargetMode="External"/><Relationship Id="rId392" Type="http://schemas.openxmlformats.org/officeDocument/2006/relationships/hyperlink" Target="https://www.dst.dk/websites/extranet/db25/db25.html" TargetMode="External"/><Relationship Id="rId613" Type="http://schemas.openxmlformats.org/officeDocument/2006/relationships/hyperlink" Target="https://www.dst.dk/websites/extranet/db25/db25.html" TargetMode="External"/><Relationship Id="rId697" Type="http://schemas.openxmlformats.org/officeDocument/2006/relationships/hyperlink" Target="https://www.dst.dk/websites/extranet/db25/db25.html" TargetMode="External"/><Relationship Id="rId252" Type="http://schemas.openxmlformats.org/officeDocument/2006/relationships/hyperlink" Target="https://www.dst.dk/websites/extranet/db25/db25.html" TargetMode="External"/><Relationship Id="rId47" Type="http://schemas.openxmlformats.org/officeDocument/2006/relationships/hyperlink" Target="https://www.dst.dk/websites/extranet/db25/db25.html" TargetMode="External"/><Relationship Id="rId112" Type="http://schemas.openxmlformats.org/officeDocument/2006/relationships/hyperlink" Target="https://www.dst.dk/websites/extranet/db25/db25.html" TargetMode="External"/><Relationship Id="rId557" Type="http://schemas.openxmlformats.org/officeDocument/2006/relationships/hyperlink" Target="https://www.dst.dk/websites/extranet/db25/db25.html" TargetMode="External"/><Relationship Id="rId196" Type="http://schemas.openxmlformats.org/officeDocument/2006/relationships/hyperlink" Target="https://www.dst.dk/websites/extranet/db25/db25.html" TargetMode="External"/><Relationship Id="rId417" Type="http://schemas.openxmlformats.org/officeDocument/2006/relationships/hyperlink" Target="https://www.dst.dk/websites/extranet/db25/db25.html" TargetMode="External"/><Relationship Id="rId624" Type="http://schemas.openxmlformats.org/officeDocument/2006/relationships/hyperlink" Target="https://www.dst.dk/websites/extranet/db25/db25.html" TargetMode="External"/><Relationship Id="rId263" Type="http://schemas.openxmlformats.org/officeDocument/2006/relationships/hyperlink" Target="https://www.dst.dk/websites/extranet/db25/db25.html" TargetMode="External"/><Relationship Id="rId470" Type="http://schemas.openxmlformats.org/officeDocument/2006/relationships/hyperlink" Target="https://www.dst.dk/websites/extranet/db25/db25.html" TargetMode="External"/><Relationship Id="rId58" Type="http://schemas.openxmlformats.org/officeDocument/2006/relationships/hyperlink" Target="https://www.dst.dk/websites/extranet/db25/db25.html" TargetMode="External"/><Relationship Id="rId123" Type="http://schemas.openxmlformats.org/officeDocument/2006/relationships/hyperlink" Target="https://www.dst.dk/websites/extranet/db25/db25.html" TargetMode="External"/><Relationship Id="rId330" Type="http://schemas.openxmlformats.org/officeDocument/2006/relationships/hyperlink" Target="https://www.dst.dk/websites/extranet/db25/db25.html" TargetMode="External"/><Relationship Id="rId568" Type="http://schemas.openxmlformats.org/officeDocument/2006/relationships/hyperlink" Target="https://www.dst.dk/websites/extranet/db25/db25.html" TargetMode="External"/><Relationship Id="rId428" Type="http://schemas.openxmlformats.org/officeDocument/2006/relationships/hyperlink" Target="https://www.dst.dk/websites/extranet/db25/db25.html" TargetMode="External"/><Relationship Id="rId635" Type="http://schemas.openxmlformats.org/officeDocument/2006/relationships/hyperlink" Target="https://www.dst.dk/websites/extranet/db25/db25.html" TargetMode="External"/><Relationship Id="rId274" Type="http://schemas.openxmlformats.org/officeDocument/2006/relationships/hyperlink" Target="https://www.dst.dk/websites/extranet/db25/db25.html" TargetMode="External"/><Relationship Id="rId481" Type="http://schemas.openxmlformats.org/officeDocument/2006/relationships/hyperlink" Target="https://www.dst.dk/websites/extranet/db25/db25.html" TargetMode="External"/><Relationship Id="rId702" Type="http://schemas.openxmlformats.org/officeDocument/2006/relationships/hyperlink" Target="https://www.dst.dk/websites/extranet/db25/db25.html" TargetMode="External"/><Relationship Id="rId69" Type="http://schemas.openxmlformats.org/officeDocument/2006/relationships/hyperlink" Target="https://www.dst.dk/websites/extranet/db25/db25.html" TargetMode="External"/><Relationship Id="rId134" Type="http://schemas.openxmlformats.org/officeDocument/2006/relationships/hyperlink" Target="https://www.dst.dk/websites/extranet/db25/db25.html" TargetMode="External"/><Relationship Id="rId579" Type="http://schemas.openxmlformats.org/officeDocument/2006/relationships/hyperlink" Target="https://www.dst.dk/websites/extranet/db25/db25.html" TargetMode="External"/><Relationship Id="rId341" Type="http://schemas.openxmlformats.org/officeDocument/2006/relationships/hyperlink" Target="https://www.dst.dk/websites/extranet/db25/db25.html" TargetMode="External"/><Relationship Id="rId439" Type="http://schemas.openxmlformats.org/officeDocument/2006/relationships/hyperlink" Target="https://www.dst.dk/websites/extranet/db25/db25.html" TargetMode="External"/><Relationship Id="rId646" Type="http://schemas.openxmlformats.org/officeDocument/2006/relationships/hyperlink" Target="https://www.dst.dk/websites/extranet/db25/db25.html" TargetMode="External"/><Relationship Id="rId201" Type="http://schemas.openxmlformats.org/officeDocument/2006/relationships/hyperlink" Target="https://www.dst.dk/websites/extranet/db25/db25.html" TargetMode="External"/><Relationship Id="rId285" Type="http://schemas.openxmlformats.org/officeDocument/2006/relationships/hyperlink" Target="https://www.dst.dk/websites/extranet/db25/db25.html" TargetMode="External"/><Relationship Id="rId506" Type="http://schemas.openxmlformats.org/officeDocument/2006/relationships/hyperlink" Target="https://www.dst.dk/websites/extranet/db25/db25.html" TargetMode="External"/><Relationship Id="rId492" Type="http://schemas.openxmlformats.org/officeDocument/2006/relationships/hyperlink" Target="https://www.dst.dk/websites/extranet/db25/db25.html" TargetMode="External"/><Relationship Id="rId713" Type="http://schemas.openxmlformats.org/officeDocument/2006/relationships/hyperlink" Target="https://www.dst.dk/websites/extranet/db25/db25.html" TargetMode="External"/><Relationship Id="rId145" Type="http://schemas.openxmlformats.org/officeDocument/2006/relationships/hyperlink" Target="https://www.dst.dk/websites/extranet/db25/db25.html" TargetMode="External"/><Relationship Id="rId352" Type="http://schemas.openxmlformats.org/officeDocument/2006/relationships/hyperlink" Target="https://www.dst.dk/websites/extranet/db25/db25.html" TargetMode="External"/><Relationship Id="rId212" Type="http://schemas.openxmlformats.org/officeDocument/2006/relationships/hyperlink" Target="https://www.dst.dk/websites/extranet/db25/db25.html" TargetMode="External"/><Relationship Id="rId657" Type="http://schemas.openxmlformats.org/officeDocument/2006/relationships/hyperlink" Target="https://www.dst.dk/websites/extranet/db25/db25.html" TargetMode="External"/><Relationship Id="rId296" Type="http://schemas.openxmlformats.org/officeDocument/2006/relationships/hyperlink" Target="https://www.dst.dk/websites/extranet/db25/db25.html" TargetMode="External"/><Relationship Id="rId517" Type="http://schemas.openxmlformats.org/officeDocument/2006/relationships/hyperlink" Target="https://www.dst.dk/websites/extranet/db25/db25.html" TargetMode="External"/><Relationship Id="rId724" Type="http://schemas.openxmlformats.org/officeDocument/2006/relationships/hyperlink" Target="https://www.dst.dk/websites/extranet/db25/db25.html" TargetMode="External"/><Relationship Id="rId60" Type="http://schemas.openxmlformats.org/officeDocument/2006/relationships/hyperlink" Target="https://www.dst.dk/websites/extranet/db25/db25.html" TargetMode="External"/><Relationship Id="rId156" Type="http://schemas.openxmlformats.org/officeDocument/2006/relationships/hyperlink" Target="https://www.dst.dk/websites/extranet/db25/db25.html" TargetMode="External"/><Relationship Id="rId363" Type="http://schemas.openxmlformats.org/officeDocument/2006/relationships/hyperlink" Target="https://www.dst.dk/websites/extranet/db25/db25.html" TargetMode="External"/><Relationship Id="rId570" Type="http://schemas.openxmlformats.org/officeDocument/2006/relationships/hyperlink" Target="https://www.dst.dk/websites/extranet/db25/db25.html" TargetMode="External"/><Relationship Id="rId223" Type="http://schemas.openxmlformats.org/officeDocument/2006/relationships/hyperlink" Target="https://www.dst.dk/websites/extranet/db25/db25.html" TargetMode="External"/><Relationship Id="rId430" Type="http://schemas.openxmlformats.org/officeDocument/2006/relationships/hyperlink" Target="https://www.dst.dk/websites/extranet/db25/db25.html" TargetMode="External"/><Relationship Id="rId668" Type="http://schemas.openxmlformats.org/officeDocument/2006/relationships/hyperlink" Target="https://www.dst.dk/websites/extranet/db25/db25.html" TargetMode="External"/><Relationship Id="rId18" Type="http://schemas.openxmlformats.org/officeDocument/2006/relationships/hyperlink" Target="https://www.dst.dk/websites/extranet/db25/db25.html" TargetMode="External"/><Relationship Id="rId528" Type="http://schemas.openxmlformats.org/officeDocument/2006/relationships/hyperlink" Target="https://www.dst.dk/websites/extranet/db25/db25.html" TargetMode="External"/><Relationship Id="rId735" Type="http://schemas.openxmlformats.org/officeDocument/2006/relationships/hyperlink" Target="https://www.dst.dk/websites/extranet/db25/db25.html" TargetMode="External"/><Relationship Id="rId167" Type="http://schemas.openxmlformats.org/officeDocument/2006/relationships/hyperlink" Target="https://www.dst.dk/websites/extranet/db25/db25.html" TargetMode="External"/><Relationship Id="rId374" Type="http://schemas.openxmlformats.org/officeDocument/2006/relationships/hyperlink" Target="https://www.dst.dk/websites/extranet/db25/db25.html" TargetMode="External"/><Relationship Id="rId581" Type="http://schemas.openxmlformats.org/officeDocument/2006/relationships/hyperlink" Target="https://www.dst.dk/websites/extranet/db25/db25.html" TargetMode="External"/><Relationship Id="rId71" Type="http://schemas.openxmlformats.org/officeDocument/2006/relationships/hyperlink" Target="https://www.dst.dk/websites/extranet/db25/db25.html" TargetMode="External"/><Relationship Id="rId234" Type="http://schemas.openxmlformats.org/officeDocument/2006/relationships/hyperlink" Target="https://www.dst.dk/websites/extranet/db25/db25.html" TargetMode="External"/><Relationship Id="rId679" Type="http://schemas.openxmlformats.org/officeDocument/2006/relationships/hyperlink" Target="https://www.dst.dk/websites/extranet/db25/db25.html" TargetMode="External"/><Relationship Id="rId2" Type="http://schemas.openxmlformats.org/officeDocument/2006/relationships/hyperlink" Target="https://www.dst.dk/websites/extranet/db25/db25.html" TargetMode="External"/><Relationship Id="rId29" Type="http://schemas.openxmlformats.org/officeDocument/2006/relationships/hyperlink" Target="https://www.dst.dk/websites/extranet/db25/db25.html" TargetMode="External"/><Relationship Id="rId441" Type="http://schemas.openxmlformats.org/officeDocument/2006/relationships/hyperlink" Target="https://www.dst.dk/websites/extranet/db25/db25.html" TargetMode="External"/><Relationship Id="rId539" Type="http://schemas.openxmlformats.org/officeDocument/2006/relationships/hyperlink" Target="https://www.dst.dk/websites/extranet/db25/db25.html" TargetMode="External"/><Relationship Id="rId178" Type="http://schemas.openxmlformats.org/officeDocument/2006/relationships/hyperlink" Target="https://www.dst.dk/websites/extranet/db25/db25.html" TargetMode="External"/><Relationship Id="rId301" Type="http://schemas.openxmlformats.org/officeDocument/2006/relationships/hyperlink" Target="https://www.dst.dk/websites/extranet/db25/db25.html" TargetMode="External"/><Relationship Id="rId82" Type="http://schemas.openxmlformats.org/officeDocument/2006/relationships/hyperlink" Target="https://www.dst.dk/websites/extranet/db25/db25.html" TargetMode="External"/><Relationship Id="rId385" Type="http://schemas.openxmlformats.org/officeDocument/2006/relationships/hyperlink" Target="https://www.dst.dk/websites/extranet/db25/db25.html" TargetMode="External"/><Relationship Id="rId592" Type="http://schemas.openxmlformats.org/officeDocument/2006/relationships/hyperlink" Target="https://www.dst.dk/websites/extranet/db25/db25.html" TargetMode="External"/><Relationship Id="rId606" Type="http://schemas.openxmlformats.org/officeDocument/2006/relationships/hyperlink" Target="https://www.dst.dk/websites/extranet/db25/db25.html" TargetMode="External"/><Relationship Id="rId245" Type="http://schemas.openxmlformats.org/officeDocument/2006/relationships/hyperlink" Target="https://www.dst.dk/websites/extranet/db25/db25.html" TargetMode="External"/><Relationship Id="rId452" Type="http://schemas.openxmlformats.org/officeDocument/2006/relationships/hyperlink" Target="https://www.dst.dk/websites/extranet/db25/db25.html" TargetMode="External"/><Relationship Id="rId105" Type="http://schemas.openxmlformats.org/officeDocument/2006/relationships/hyperlink" Target="https://www.dst.dk/websites/extranet/db25/db25.html" TargetMode="External"/><Relationship Id="rId312" Type="http://schemas.openxmlformats.org/officeDocument/2006/relationships/hyperlink" Target="https://www.dst.dk/websites/extranet/db25/db25.html" TargetMode="External"/><Relationship Id="rId93" Type="http://schemas.openxmlformats.org/officeDocument/2006/relationships/hyperlink" Target="https://www.dst.dk/websites/extranet/db25/db25.html" TargetMode="External"/><Relationship Id="rId189" Type="http://schemas.openxmlformats.org/officeDocument/2006/relationships/hyperlink" Target="https://www.dst.dk/websites/extranet/db25/db25.html" TargetMode="External"/><Relationship Id="rId396" Type="http://schemas.openxmlformats.org/officeDocument/2006/relationships/hyperlink" Target="https://www.dst.dk/websites/extranet/db25/db25.html" TargetMode="External"/><Relationship Id="rId617" Type="http://schemas.openxmlformats.org/officeDocument/2006/relationships/hyperlink" Target="https://www.dst.dk/websites/extranet/db25/db25.html" TargetMode="External"/><Relationship Id="rId214" Type="http://schemas.openxmlformats.org/officeDocument/2006/relationships/hyperlink" Target="https://www.dst.dk/websites/extranet/db25/db25.html" TargetMode="External"/><Relationship Id="rId256" Type="http://schemas.openxmlformats.org/officeDocument/2006/relationships/hyperlink" Target="https://www.dst.dk/websites/extranet/db25/db25.html" TargetMode="External"/><Relationship Id="rId298" Type="http://schemas.openxmlformats.org/officeDocument/2006/relationships/hyperlink" Target="https://www.dst.dk/websites/extranet/db25/db25.html" TargetMode="External"/><Relationship Id="rId421" Type="http://schemas.openxmlformats.org/officeDocument/2006/relationships/hyperlink" Target="https://www.dst.dk/websites/extranet/db25/db25.html" TargetMode="External"/><Relationship Id="rId463" Type="http://schemas.openxmlformats.org/officeDocument/2006/relationships/hyperlink" Target="https://www.dst.dk/websites/extranet/db25/db25.html" TargetMode="External"/><Relationship Id="rId519" Type="http://schemas.openxmlformats.org/officeDocument/2006/relationships/hyperlink" Target="https://www.dst.dk/websites/extranet/db25/db25.html" TargetMode="External"/><Relationship Id="rId670" Type="http://schemas.openxmlformats.org/officeDocument/2006/relationships/hyperlink" Target="https://www.dst.dk/websites/extranet/db25/db25.html" TargetMode="External"/><Relationship Id="rId116" Type="http://schemas.openxmlformats.org/officeDocument/2006/relationships/hyperlink" Target="https://www.dst.dk/websites/extranet/db25/db25.html" TargetMode="External"/><Relationship Id="rId158" Type="http://schemas.openxmlformats.org/officeDocument/2006/relationships/hyperlink" Target="https://www.dst.dk/websites/extranet/db25/db25.html" TargetMode="External"/><Relationship Id="rId323" Type="http://schemas.openxmlformats.org/officeDocument/2006/relationships/hyperlink" Target="https://www.dst.dk/websites/extranet/db25/db25.html" TargetMode="External"/><Relationship Id="rId530" Type="http://schemas.openxmlformats.org/officeDocument/2006/relationships/hyperlink" Target="https://www.dst.dk/websites/extranet/db25/db25.html" TargetMode="External"/><Relationship Id="rId726" Type="http://schemas.openxmlformats.org/officeDocument/2006/relationships/hyperlink" Target="https://www.dst.dk/websites/extranet/db25/db25.html" TargetMode="External"/><Relationship Id="rId20" Type="http://schemas.openxmlformats.org/officeDocument/2006/relationships/hyperlink" Target="https://www.dst.dk/websites/extranet/db25/db25.html" TargetMode="External"/><Relationship Id="rId62" Type="http://schemas.openxmlformats.org/officeDocument/2006/relationships/hyperlink" Target="https://www.dst.dk/websites/extranet/db25/db25.html" TargetMode="External"/><Relationship Id="rId365" Type="http://schemas.openxmlformats.org/officeDocument/2006/relationships/hyperlink" Target="https://www.dst.dk/websites/extranet/db25/db25.html" TargetMode="External"/><Relationship Id="rId572" Type="http://schemas.openxmlformats.org/officeDocument/2006/relationships/hyperlink" Target="https://www.dst.dk/websites/extranet/db25/db25.html" TargetMode="External"/><Relationship Id="rId628" Type="http://schemas.openxmlformats.org/officeDocument/2006/relationships/hyperlink" Target="https://www.dst.dk/websites/extranet/db25/db25.html" TargetMode="External"/><Relationship Id="rId225" Type="http://schemas.openxmlformats.org/officeDocument/2006/relationships/hyperlink" Target="https://www.dst.dk/websites/extranet/db25/db25.html" TargetMode="External"/><Relationship Id="rId267" Type="http://schemas.openxmlformats.org/officeDocument/2006/relationships/hyperlink" Target="https://www.dst.dk/websites/extranet/db25/db25.html" TargetMode="External"/><Relationship Id="rId432" Type="http://schemas.openxmlformats.org/officeDocument/2006/relationships/hyperlink" Target="https://www.dst.dk/websites/extranet/db25/db25.html" TargetMode="External"/><Relationship Id="rId474" Type="http://schemas.openxmlformats.org/officeDocument/2006/relationships/hyperlink" Target="https://www.dst.dk/websites/extranet/db25/db25.html" TargetMode="External"/><Relationship Id="rId127" Type="http://schemas.openxmlformats.org/officeDocument/2006/relationships/hyperlink" Target="https://www.dst.dk/websites/extranet/db25/db25.html" TargetMode="External"/><Relationship Id="rId681" Type="http://schemas.openxmlformats.org/officeDocument/2006/relationships/hyperlink" Target="https://www.dst.dk/websites/extranet/db25/db25.html" TargetMode="External"/><Relationship Id="rId737" Type="http://schemas.openxmlformats.org/officeDocument/2006/relationships/hyperlink" Target="https://www.dst.dk/websites/extranet/db25/db25.html" TargetMode="External"/><Relationship Id="rId31" Type="http://schemas.openxmlformats.org/officeDocument/2006/relationships/hyperlink" Target="https://www.dst.dk/websites/extranet/db25/db25.html" TargetMode="External"/><Relationship Id="rId73" Type="http://schemas.openxmlformats.org/officeDocument/2006/relationships/hyperlink" Target="https://www.dst.dk/websites/extranet/db25/db25.html" TargetMode="External"/><Relationship Id="rId169" Type="http://schemas.openxmlformats.org/officeDocument/2006/relationships/hyperlink" Target="https://www.dst.dk/websites/extranet/db25/db25.html" TargetMode="External"/><Relationship Id="rId334" Type="http://schemas.openxmlformats.org/officeDocument/2006/relationships/hyperlink" Target="https://www.dst.dk/websites/extranet/db25/db25.html" TargetMode="External"/><Relationship Id="rId376" Type="http://schemas.openxmlformats.org/officeDocument/2006/relationships/hyperlink" Target="https://www.dst.dk/websites/extranet/db25/db25.html" TargetMode="External"/><Relationship Id="rId541" Type="http://schemas.openxmlformats.org/officeDocument/2006/relationships/hyperlink" Target="https://www.dst.dk/websites/extranet/db25/db25.html" TargetMode="External"/><Relationship Id="rId583" Type="http://schemas.openxmlformats.org/officeDocument/2006/relationships/hyperlink" Target="https://www.dst.dk/websites/extranet/db25/db25.html" TargetMode="External"/><Relationship Id="rId639" Type="http://schemas.openxmlformats.org/officeDocument/2006/relationships/hyperlink" Target="https://www.dst.dk/websites/extranet/db25/db25.html" TargetMode="External"/><Relationship Id="rId4" Type="http://schemas.openxmlformats.org/officeDocument/2006/relationships/hyperlink" Target="https://www.dst.dk/websites/extranet/db25/db25.html" TargetMode="External"/><Relationship Id="rId180" Type="http://schemas.openxmlformats.org/officeDocument/2006/relationships/hyperlink" Target="https://www.dst.dk/websites/extranet/db25/db25.html" TargetMode="External"/><Relationship Id="rId236" Type="http://schemas.openxmlformats.org/officeDocument/2006/relationships/hyperlink" Target="https://www.dst.dk/websites/extranet/db25/db25.html" TargetMode="External"/><Relationship Id="rId278" Type="http://schemas.openxmlformats.org/officeDocument/2006/relationships/hyperlink" Target="https://www.dst.dk/websites/extranet/db25/db25.html" TargetMode="External"/><Relationship Id="rId401" Type="http://schemas.openxmlformats.org/officeDocument/2006/relationships/hyperlink" Target="https://www.dst.dk/websites/extranet/db25/db25.html" TargetMode="External"/><Relationship Id="rId443" Type="http://schemas.openxmlformats.org/officeDocument/2006/relationships/hyperlink" Target="https://www.dst.dk/websites/extranet/db25/db25.html" TargetMode="External"/><Relationship Id="rId650" Type="http://schemas.openxmlformats.org/officeDocument/2006/relationships/hyperlink" Target="https://www.dst.dk/websites/extranet/db25/db25.html" TargetMode="External"/><Relationship Id="rId303" Type="http://schemas.openxmlformats.org/officeDocument/2006/relationships/hyperlink" Target="https://www.dst.dk/websites/extranet/db25/db25.html" TargetMode="External"/><Relationship Id="rId485" Type="http://schemas.openxmlformats.org/officeDocument/2006/relationships/hyperlink" Target="https://www.dst.dk/websites/extranet/db25/db25.html" TargetMode="External"/><Relationship Id="rId692" Type="http://schemas.openxmlformats.org/officeDocument/2006/relationships/hyperlink" Target="https://www.dst.dk/websites/extranet/db25/db25.html" TargetMode="External"/><Relationship Id="rId706" Type="http://schemas.openxmlformats.org/officeDocument/2006/relationships/hyperlink" Target="https://www.dst.dk/websites/extranet/db25/db25.html" TargetMode="External"/><Relationship Id="rId42" Type="http://schemas.openxmlformats.org/officeDocument/2006/relationships/hyperlink" Target="https://www.dst.dk/websites/extranet/db25/db25.html" TargetMode="External"/><Relationship Id="rId84" Type="http://schemas.openxmlformats.org/officeDocument/2006/relationships/hyperlink" Target="https://www.dst.dk/websites/extranet/db25/db25.html" TargetMode="External"/><Relationship Id="rId138" Type="http://schemas.openxmlformats.org/officeDocument/2006/relationships/hyperlink" Target="https://www.dst.dk/websites/extranet/db25/db25.html" TargetMode="External"/><Relationship Id="rId345" Type="http://schemas.openxmlformats.org/officeDocument/2006/relationships/hyperlink" Target="https://www.dst.dk/websites/extranet/db25/db25.html" TargetMode="External"/><Relationship Id="rId387" Type="http://schemas.openxmlformats.org/officeDocument/2006/relationships/hyperlink" Target="https://www.dst.dk/websites/extranet/db25/db25.html" TargetMode="External"/><Relationship Id="rId510" Type="http://schemas.openxmlformats.org/officeDocument/2006/relationships/hyperlink" Target="https://www.dst.dk/websites/extranet/db25/db25.html" TargetMode="External"/><Relationship Id="rId552" Type="http://schemas.openxmlformats.org/officeDocument/2006/relationships/hyperlink" Target="https://www.dst.dk/websites/extranet/db25/db25.html" TargetMode="External"/><Relationship Id="rId594" Type="http://schemas.openxmlformats.org/officeDocument/2006/relationships/hyperlink" Target="https://www.dst.dk/websites/extranet/db25/db25.html" TargetMode="External"/><Relationship Id="rId608" Type="http://schemas.openxmlformats.org/officeDocument/2006/relationships/hyperlink" Target="https://www.dst.dk/websites/extranet/db25/db25.html" TargetMode="External"/><Relationship Id="rId191" Type="http://schemas.openxmlformats.org/officeDocument/2006/relationships/hyperlink" Target="https://www.dst.dk/websites/extranet/db25/db25.html" TargetMode="External"/><Relationship Id="rId205" Type="http://schemas.openxmlformats.org/officeDocument/2006/relationships/hyperlink" Target="https://www.dst.dk/websites/extranet/db25/db25.html" TargetMode="External"/><Relationship Id="rId247" Type="http://schemas.openxmlformats.org/officeDocument/2006/relationships/hyperlink" Target="https://www.dst.dk/websites/extranet/db25/db25.html" TargetMode="External"/><Relationship Id="rId412" Type="http://schemas.openxmlformats.org/officeDocument/2006/relationships/hyperlink" Target="https://www.dst.dk/websites/extranet/db25/db25.html" TargetMode="External"/><Relationship Id="rId107" Type="http://schemas.openxmlformats.org/officeDocument/2006/relationships/hyperlink" Target="https://www.dst.dk/websites/extranet/db25/db25.html" TargetMode="External"/><Relationship Id="rId289" Type="http://schemas.openxmlformats.org/officeDocument/2006/relationships/hyperlink" Target="https://www.dst.dk/websites/extranet/db25/db25.html" TargetMode="External"/><Relationship Id="rId454" Type="http://schemas.openxmlformats.org/officeDocument/2006/relationships/hyperlink" Target="https://www.dst.dk/websites/extranet/db25/db25.html" TargetMode="External"/><Relationship Id="rId496" Type="http://schemas.openxmlformats.org/officeDocument/2006/relationships/hyperlink" Target="https://www.dst.dk/websites/extranet/db25/db25.html" TargetMode="External"/><Relationship Id="rId661" Type="http://schemas.openxmlformats.org/officeDocument/2006/relationships/hyperlink" Target="https://www.dst.dk/websites/extranet/db25/db25.html" TargetMode="External"/><Relationship Id="rId717" Type="http://schemas.openxmlformats.org/officeDocument/2006/relationships/hyperlink" Target="https://www.dst.dk/websites/extranet/db25/db25.html" TargetMode="External"/><Relationship Id="rId11" Type="http://schemas.openxmlformats.org/officeDocument/2006/relationships/hyperlink" Target="https://www.dst.dk/websites/extranet/db25/db25.html" TargetMode="External"/><Relationship Id="rId53" Type="http://schemas.openxmlformats.org/officeDocument/2006/relationships/hyperlink" Target="https://www.dst.dk/websites/extranet/db25/db25.html" TargetMode="External"/><Relationship Id="rId149" Type="http://schemas.openxmlformats.org/officeDocument/2006/relationships/hyperlink" Target="https://www.dst.dk/websites/extranet/db25/db25.html" TargetMode="External"/><Relationship Id="rId314" Type="http://schemas.openxmlformats.org/officeDocument/2006/relationships/hyperlink" Target="https://www.dst.dk/websites/extranet/db25/db25.html" TargetMode="External"/><Relationship Id="rId356" Type="http://schemas.openxmlformats.org/officeDocument/2006/relationships/hyperlink" Target="https://www.dst.dk/websites/extranet/db25/db25.html" TargetMode="External"/><Relationship Id="rId398" Type="http://schemas.openxmlformats.org/officeDocument/2006/relationships/hyperlink" Target="https://www.dst.dk/websites/extranet/db25/db25.html" TargetMode="External"/><Relationship Id="rId521" Type="http://schemas.openxmlformats.org/officeDocument/2006/relationships/hyperlink" Target="https://www.dst.dk/websites/extranet/db25/db25.html" TargetMode="External"/><Relationship Id="rId563" Type="http://schemas.openxmlformats.org/officeDocument/2006/relationships/hyperlink" Target="https://www.dst.dk/websites/extranet/db25/db25.html" TargetMode="External"/><Relationship Id="rId619" Type="http://schemas.openxmlformats.org/officeDocument/2006/relationships/hyperlink" Target="https://www.dst.dk/websites/extranet/db25/db25.html" TargetMode="External"/><Relationship Id="rId95" Type="http://schemas.openxmlformats.org/officeDocument/2006/relationships/hyperlink" Target="https://www.dst.dk/websites/extranet/db25/db25.html" TargetMode="External"/><Relationship Id="rId160" Type="http://schemas.openxmlformats.org/officeDocument/2006/relationships/hyperlink" Target="https://www.dst.dk/websites/extranet/db25/db25.html" TargetMode="External"/><Relationship Id="rId216" Type="http://schemas.openxmlformats.org/officeDocument/2006/relationships/hyperlink" Target="https://www.dst.dk/websites/extranet/db25/db25.html" TargetMode="External"/><Relationship Id="rId423" Type="http://schemas.openxmlformats.org/officeDocument/2006/relationships/hyperlink" Target="https://www.dst.dk/websites/extranet/db25/db25.html" TargetMode="External"/><Relationship Id="rId258" Type="http://schemas.openxmlformats.org/officeDocument/2006/relationships/hyperlink" Target="https://www.dst.dk/websites/extranet/db25/db25.html" TargetMode="External"/><Relationship Id="rId465" Type="http://schemas.openxmlformats.org/officeDocument/2006/relationships/hyperlink" Target="https://www.dst.dk/websites/extranet/db25/db25.html" TargetMode="External"/><Relationship Id="rId630" Type="http://schemas.openxmlformats.org/officeDocument/2006/relationships/hyperlink" Target="https://www.dst.dk/websites/extranet/db25/db25.html" TargetMode="External"/><Relationship Id="rId672" Type="http://schemas.openxmlformats.org/officeDocument/2006/relationships/hyperlink" Target="https://www.dst.dk/websites/extranet/db25/db25.html" TargetMode="External"/><Relationship Id="rId728" Type="http://schemas.openxmlformats.org/officeDocument/2006/relationships/hyperlink" Target="https://www.dst.dk/websites/extranet/db25/db25.html" TargetMode="External"/><Relationship Id="rId22" Type="http://schemas.openxmlformats.org/officeDocument/2006/relationships/hyperlink" Target="https://www.dst.dk/websites/extranet/db25/db25.html" TargetMode="External"/><Relationship Id="rId64" Type="http://schemas.openxmlformats.org/officeDocument/2006/relationships/hyperlink" Target="https://www.dst.dk/websites/extranet/db25/db25.html" TargetMode="External"/><Relationship Id="rId118" Type="http://schemas.openxmlformats.org/officeDocument/2006/relationships/hyperlink" Target="https://www.dst.dk/websites/extranet/db25/db25.html" TargetMode="External"/><Relationship Id="rId325" Type="http://schemas.openxmlformats.org/officeDocument/2006/relationships/hyperlink" Target="https://www.dst.dk/websites/extranet/db25/db25.html" TargetMode="External"/><Relationship Id="rId367" Type="http://schemas.openxmlformats.org/officeDocument/2006/relationships/hyperlink" Target="https://www.dst.dk/websites/extranet/db25/db25.html" TargetMode="External"/><Relationship Id="rId532" Type="http://schemas.openxmlformats.org/officeDocument/2006/relationships/hyperlink" Target="https://www.dst.dk/websites/extranet/db25/db25.html" TargetMode="External"/><Relationship Id="rId574" Type="http://schemas.openxmlformats.org/officeDocument/2006/relationships/hyperlink" Target="https://www.dst.dk/websites/extranet/db25/db25.html" TargetMode="External"/><Relationship Id="rId171" Type="http://schemas.openxmlformats.org/officeDocument/2006/relationships/hyperlink" Target="https://www.dst.dk/websites/extranet/db25/db25.html" TargetMode="External"/><Relationship Id="rId227" Type="http://schemas.openxmlformats.org/officeDocument/2006/relationships/hyperlink" Target="https://www.dst.dk/websites/extranet/db25/db25.html" TargetMode="External"/><Relationship Id="rId269" Type="http://schemas.openxmlformats.org/officeDocument/2006/relationships/hyperlink" Target="https://www.dst.dk/websites/extranet/db25/db25.html" TargetMode="External"/><Relationship Id="rId434" Type="http://schemas.openxmlformats.org/officeDocument/2006/relationships/hyperlink" Target="https://www.dst.dk/websites/extranet/db25/db25.html" TargetMode="External"/><Relationship Id="rId476" Type="http://schemas.openxmlformats.org/officeDocument/2006/relationships/hyperlink" Target="https://www.dst.dk/websites/extranet/db25/db25.html" TargetMode="External"/><Relationship Id="rId641" Type="http://schemas.openxmlformats.org/officeDocument/2006/relationships/hyperlink" Target="https://www.dst.dk/websites/extranet/db25/db25.html" TargetMode="External"/><Relationship Id="rId683" Type="http://schemas.openxmlformats.org/officeDocument/2006/relationships/hyperlink" Target="https://www.dst.dk/websites/extranet/db25/db25.html" TargetMode="External"/><Relationship Id="rId33" Type="http://schemas.openxmlformats.org/officeDocument/2006/relationships/hyperlink" Target="https://www.dst.dk/websites/extranet/db25/db25.html" TargetMode="External"/><Relationship Id="rId129" Type="http://schemas.openxmlformats.org/officeDocument/2006/relationships/hyperlink" Target="https://www.dst.dk/websites/extranet/db25/db25.html" TargetMode="External"/><Relationship Id="rId280" Type="http://schemas.openxmlformats.org/officeDocument/2006/relationships/hyperlink" Target="https://www.dst.dk/websites/extranet/db25/db25.html" TargetMode="External"/><Relationship Id="rId336" Type="http://schemas.openxmlformats.org/officeDocument/2006/relationships/hyperlink" Target="https://www.dst.dk/websites/extranet/db25/db25.html" TargetMode="External"/><Relationship Id="rId501" Type="http://schemas.openxmlformats.org/officeDocument/2006/relationships/hyperlink" Target="https://www.dst.dk/websites/extranet/db25/db25.html" TargetMode="External"/><Relationship Id="rId543" Type="http://schemas.openxmlformats.org/officeDocument/2006/relationships/hyperlink" Target="https://www.dst.dk/websites/extranet/db25/db25.html" TargetMode="External"/><Relationship Id="rId75" Type="http://schemas.openxmlformats.org/officeDocument/2006/relationships/hyperlink" Target="https://www.dst.dk/websites/extranet/db25/db25.html" TargetMode="External"/><Relationship Id="rId140" Type="http://schemas.openxmlformats.org/officeDocument/2006/relationships/hyperlink" Target="https://www.dst.dk/websites/extranet/db25/db25.html" TargetMode="External"/><Relationship Id="rId182" Type="http://schemas.openxmlformats.org/officeDocument/2006/relationships/hyperlink" Target="https://www.dst.dk/websites/extranet/db25/db25.html" TargetMode="External"/><Relationship Id="rId378" Type="http://schemas.openxmlformats.org/officeDocument/2006/relationships/hyperlink" Target="https://www.dst.dk/websites/extranet/db25/db25.html" TargetMode="External"/><Relationship Id="rId403" Type="http://schemas.openxmlformats.org/officeDocument/2006/relationships/hyperlink" Target="https://www.dst.dk/websites/extranet/db25/db25.html" TargetMode="External"/><Relationship Id="rId585" Type="http://schemas.openxmlformats.org/officeDocument/2006/relationships/hyperlink" Target="https://www.dst.dk/websites/extranet/db25/db25.html" TargetMode="External"/><Relationship Id="rId6" Type="http://schemas.openxmlformats.org/officeDocument/2006/relationships/hyperlink" Target="https://www.dst.dk/websites/extranet/db25/db25.html" TargetMode="External"/><Relationship Id="rId238" Type="http://schemas.openxmlformats.org/officeDocument/2006/relationships/hyperlink" Target="https://www.dst.dk/websites/extranet/db25/db25.html" TargetMode="External"/><Relationship Id="rId445" Type="http://schemas.openxmlformats.org/officeDocument/2006/relationships/hyperlink" Target="https://www.dst.dk/websites/extranet/db25/db25.html" TargetMode="External"/><Relationship Id="rId487" Type="http://schemas.openxmlformats.org/officeDocument/2006/relationships/hyperlink" Target="https://www.dst.dk/websites/extranet/db25/db25.html" TargetMode="External"/><Relationship Id="rId610" Type="http://schemas.openxmlformats.org/officeDocument/2006/relationships/hyperlink" Target="https://www.dst.dk/websites/extranet/db25/db25.html" TargetMode="External"/><Relationship Id="rId652" Type="http://schemas.openxmlformats.org/officeDocument/2006/relationships/hyperlink" Target="https://www.dst.dk/websites/extranet/db25/db25.html" TargetMode="External"/><Relationship Id="rId694" Type="http://schemas.openxmlformats.org/officeDocument/2006/relationships/hyperlink" Target="https://www.dst.dk/websites/extranet/db25/db25.html" TargetMode="External"/><Relationship Id="rId708" Type="http://schemas.openxmlformats.org/officeDocument/2006/relationships/hyperlink" Target="https://www.dst.dk/websites/extranet/db25/db25.html" TargetMode="External"/><Relationship Id="rId291" Type="http://schemas.openxmlformats.org/officeDocument/2006/relationships/hyperlink" Target="https://www.dst.dk/websites/extranet/db25/db25.html" TargetMode="External"/><Relationship Id="rId305" Type="http://schemas.openxmlformats.org/officeDocument/2006/relationships/hyperlink" Target="https://www.dst.dk/websites/extranet/db25/db25.html" TargetMode="External"/><Relationship Id="rId347" Type="http://schemas.openxmlformats.org/officeDocument/2006/relationships/hyperlink" Target="https://www.dst.dk/websites/extranet/db25/db25.html" TargetMode="External"/><Relationship Id="rId512" Type="http://schemas.openxmlformats.org/officeDocument/2006/relationships/hyperlink" Target="https://www.dst.dk/websites/extranet/db25/db25.html" TargetMode="External"/><Relationship Id="rId44" Type="http://schemas.openxmlformats.org/officeDocument/2006/relationships/hyperlink" Target="https://www.dst.dk/websites/extranet/db25/db25.html" TargetMode="External"/><Relationship Id="rId86" Type="http://schemas.openxmlformats.org/officeDocument/2006/relationships/hyperlink" Target="https://www.dst.dk/websites/extranet/db25/db25.html" TargetMode="External"/><Relationship Id="rId151" Type="http://schemas.openxmlformats.org/officeDocument/2006/relationships/hyperlink" Target="https://www.dst.dk/websites/extranet/db25/db25.html" TargetMode="External"/><Relationship Id="rId389" Type="http://schemas.openxmlformats.org/officeDocument/2006/relationships/hyperlink" Target="https://www.dst.dk/websites/extranet/db25/db25.html" TargetMode="External"/><Relationship Id="rId554" Type="http://schemas.openxmlformats.org/officeDocument/2006/relationships/hyperlink" Target="https://www.dst.dk/websites/extranet/db25/db25.html" TargetMode="External"/><Relationship Id="rId596" Type="http://schemas.openxmlformats.org/officeDocument/2006/relationships/hyperlink" Target="https://www.dst.dk/websites/extranet/db25/db25.html" TargetMode="External"/><Relationship Id="rId193" Type="http://schemas.openxmlformats.org/officeDocument/2006/relationships/hyperlink" Target="https://www.dst.dk/websites/extranet/db25/db25.html" TargetMode="External"/><Relationship Id="rId207" Type="http://schemas.openxmlformats.org/officeDocument/2006/relationships/hyperlink" Target="https://www.dst.dk/websites/extranet/db25/db25.html" TargetMode="External"/><Relationship Id="rId249" Type="http://schemas.openxmlformats.org/officeDocument/2006/relationships/hyperlink" Target="https://www.dst.dk/websites/extranet/db25/db25.html" TargetMode="External"/><Relationship Id="rId414" Type="http://schemas.openxmlformats.org/officeDocument/2006/relationships/hyperlink" Target="https://www.dst.dk/websites/extranet/db25/db25.html" TargetMode="External"/><Relationship Id="rId456" Type="http://schemas.openxmlformats.org/officeDocument/2006/relationships/hyperlink" Target="https://www.dst.dk/websites/extranet/db25/db25.html" TargetMode="External"/><Relationship Id="rId498" Type="http://schemas.openxmlformats.org/officeDocument/2006/relationships/hyperlink" Target="https://www.dst.dk/websites/extranet/db25/db25.html" TargetMode="External"/><Relationship Id="rId621" Type="http://schemas.openxmlformats.org/officeDocument/2006/relationships/hyperlink" Target="https://www.dst.dk/websites/extranet/db25/db25.html" TargetMode="External"/><Relationship Id="rId663" Type="http://schemas.openxmlformats.org/officeDocument/2006/relationships/hyperlink" Target="https://www.dst.dk/websites/extranet/db25/db25.html" TargetMode="External"/><Relationship Id="rId13" Type="http://schemas.openxmlformats.org/officeDocument/2006/relationships/hyperlink" Target="https://www.dst.dk/websites/extranet/db25/db25.html" TargetMode="External"/><Relationship Id="rId109" Type="http://schemas.openxmlformats.org/officeDocument/2006/relationships/hyperlink" Target="https://www.dst.dk/websites/extranet/db25/db25.html" TargetMode="External"/><Relationship Id="rId260" Type="http://schemas.openxmlformats.org/officeDocument/2006/relationships/hyperlink" Target="https://www.dst.dk/websites/extranet/db25/db25.html" TargetMode="External"/><Relationship Id="rId316" Type="http://schemas.openxmlformats.org/officeDocument/2006/relationships/hyperlink" Target="https://www.dst.dk/websites/extranet/db25/db25.html" TargetMode="External"/><Relationship Id="rId523" Type="http://schemas.openxmlformats.org/officeDocument/2006/relationships/hyperlink" Target="https://www.dst.dk/websites/extranet/db25/db25.html" TargetMode="External"/><Relationship Id="rId719" Type="http://schemas.openxmlformats.org/officeDocument/2006/relationships/hyperlink" Target="https://www.dst.dk/websites/extranet/db25/db25.html" TargetMode="External"/><Relationship Id="rId55" Type="http://schemas.openxmlformats.org/officeDocument/2006/relationships/hyperlink" Target="https://www.dst.dk/websites/extranet/db25/db25.html" TargetMode="External"/><Relationship Id="rId97" Type="http://schemas.openxmlformats.org/officeDocument/2006/relationships/hyperlink" Target="https://www.dst.dk/websites/extranet/db25/db25.html" TargetMode="External"/><Relationship Id="rId120" Type="http://schemas.openxmlformats.org/officeDocument/2006/relationships/hyperlink" Target="https://www.dst.dk/websites/extranet/db25/db25.html" TargetMode="External"/><Relationship Id="rId358" Type="http://schemas.openxmlformats.org/officeDocument/2006/relationships/hyperlink" Target="https://www.dst.dk/websites/extranet/db25/db25.html" TargetMode="External"/><Relationship Id="rId565" Type="http://schemas.openxmlformats.org/officeDocument/2006/relationships/hyperlink" Target="https://www.dst.dk/websites/extranet/db25/db25.html" TargetMode="External"/><Relationship Id="rId730" Type="http://schemas.openxmlformats.org/officeDocument/2006/relationships/hyperlink" Target="https://www.dst.dk/websites/extranet/db25/db25.html" TargetMode="External"/><Relationship Id="rId162" Type="http://schemas.openxmlformats.org/officeDocument/2006/relationships/hyperlink" Target="https://www.dst.dk/websites/extranet/db25/db25.html" TargetMode="External"/><Relationship Id="rId218" Type="http://schemas.openxmlformats.org/officeDocument/2006/relationships/hyperlink" Target="https://www.dst.dk/websites/extranet/db25/db25.html" TargetMode="External"/><Relationship Id="rId425" Type="http://schemas.openxmlformats.org/officeDocument/2006/relationships/hyperlink" Target="https://www.dst.dk/websites/extranet/db25/db25.html" TargetMode="External"/><Relationship Id="rId467" Type="http://schemas.openxmlformats.org/officeDocument/2006/relationships/hyperlink" Target="https://www.dst.dk/websites/extranet/db25/db25.html" TargetMode="External"/><Relationship Id="rId632" Type="http://schemas.openxmlformats.org/officeDocument/2006/relationships/hyperlink" Target="https://www.dst.dk/websites/extranet/db25/db25.html" TargetMode="External"/><Relationship Id="rId271" Type="http://schemas.openxmlformats.org/officeDocument/2006/relationships/hyperlink" Target="https://www.dst.dk/websites/extranet/db25/db25.html" TargetMode="External"/><Relationship Id="rId674" Type="http://schemas.openxmlformats.org/officeDocument/2006/relationships/hyperlink" Target="https://www.dst.dk/websites/extranet/db25/db25.html" TargetMode="External"/><Relationship Id="rId24" Type="http://schemas.openxmlformats.org/officeDocument/2006/relationships/hyperlink" Target="https://www.dst.dk/websites/extranet/db25/db25.html" TargetMode="External"/><Relationship Id="rId66" Type="http://schemas.openxmlformats.org/officeDocument/2006/relationships/hyperlink" Target="https://www.dst.dk/websites/extranet/db25/db25.html" TargetMode="External"/><Relationship Id="rId131" Type="http://schemas.openxmlformats.org/officeDocument/2006/relationships/hyperlink" Target="https://www.dst.dk/websites/extranet/db25/db25.html" TargetMode="External"/><Relationship Id="rId327" Type="http://schemas.openxmlformats.org/officeDocument/2006/relationships/hyperlink" Target="https://www.dst.dk/websites/extranet/db25/db25.html" TargetMode="External"/><Relationship Id="rId369" Type="http://schemas.openxmlformats.org/officeDocument/2006/relationships/hyperlink" Target="https://www.dst.dk/websites/extranet/db25/db25.html" TargetMode="External"/><Relationship Id="rId534" Type="http://schemas.openxmlformats.org/officeDocument/2006/relationships/hyperlink" Target="https://www.dst.dk/websites/extranet/db25/db25.html" TargetMode="External"/><Relationship Id="rId576" Type="http://schemas.openxmlformats.org/officeDocument/2006/relationships/hyperlink" Target="https://www.dst.dk/websites/extranet/db25/db25.html" TargetMode="External"/><Relationship Id="rId173" Type="http://schemas.openxmlformats.org/officeDocument/2006/relationships/hyperlink" Target="https://www.dst.dk/websites/extranet/db25/db25.html" TargetMode="External"/><Relationship Id="rId229" Type="http://schemas.openxmlformats.org/officeDocument/2006/relationships/hyperlink" Target="https://www.dst.dk/websites/extranet/db25/db25.html" TargetMode="External"/><Relationship Id="rId380" Type="http://schemas.openxmlformats.org/officeDocument/2006/relationships/hyperlink" Target="https://www.dst.dk/websites/extranet/db25/db25.html" TargetMode="External"/><Relationship Id="rId436" Type="http://schemas.openxmlformats.org/officeDocument/2006/relationships/hyperlink" Target="https://www.dst.dk/websites/extranet/db25/db25.html" TargetMode="External"/><Relationship Id="rId601" Type="http://schemas.openxmlformats.org/officeDocument/2006/relationships/hyperlink" Target="https://www.dst.dk/websites/extranet/db25/db25.html" TargetMode="External"/><Relationship Id="rId643" Type="http://schemas.openxmlformats.org/officeDocument/2006/relationships/hyperlink" Target="https://www.dst.dk/websites/extranet/db25/db25.html" TargetMode="External"/><Relationship Id="rId240" Type="http://schemas.openxmlformats.org/officeDocument/2006/relationships/hyperlink" Target="https://www.dst.dk/websites/extranet/db25/db25.html" TargetMode="External"/><Relationship Id="rId478" Type="http://schemas.openxmlformats.org/officeDocument/2006/relationships/hyperlink" Target="https://www.dst.dk/websites/extranet/db25/db25.html" TargetMode="External"/><Relationship Id="rId685" Type="http://schemas.openxmlformats.org/officeDocument/2006/relationships/hyperlink" Target="https://www.dst.dk/websites/extranet/db25/db25.html" TargetMode="External"/><Relationship Id="rId35" Type="http://schemas.openxmlformats.org/officeDocument/2006/relationships/hyperlink" Target="https://www.dst.dk/websites/extranet/db25/db25.html" TargetMode="External"/><Relationship Id="rId77" Type="http://schemas.openxmlformats.org/officeDocument/2006/relationships/hyperlink" Target="https://www.dst.dk/websites/extranet/db25/db25.html" TargetMode="External"/><Relationship Id="rId100" Type="http://schemas.openxmlformats.org/officeDocument/2006/relationships/hyperlink" Target="https://www.dst.dk/websites/extranet/db25/db25.html" TargetMode="External"/><Relationship Id="rId282" Type="http://schemas.openxmlformats.org/officeDocument/2006/relationships/hyperlink" Target="https://www.dst.dk/websites/extranet/db25/db25.html" TargetMode="External"/><Relationship Id="rId338" Type="http://schemas.openxmlformats.org/officeDocument/2006/relationships/hyperlink" Target="https://www.dst.dk/websites/extranet/db25/db25.html" TargetMode="External"/><Relationship Id="rId503" Type="http://schemas.openxmlformats.org/officeDocument/2006/relationships/hyperlink" Target="https://www.dst.dk/websites/extranet/db25/db25.html" TargetMode="External"/><Relationship Id="rId545" Type="http://schemas.openxmlformats.org/officeDocument/2006/relationships/hyperlink" Target="https://www.dst.dk/websites/extranet/db25/db25.html" TargetMode="External"/><Relationship Id="rId587" Type="http://schemas.openxmlformats.org/officeDocument/2006/relationships/hyperlink" Target="https://www.dst.dk/websites/extranet/db25/db25.html" TargetMode="External"/><Relationship Id="rId710" Type="http://schemas.openxmlformats.org/officeDocument/2006/relationships/hyperlink" Target="https://www.dst.dk/websites/extranet/db25/db25.html" TargetMode="External"/><Relationship Id="rId8" Type="http://schemas.openxmlformats.org/officeDocument/2006/relationships/hyperlink" Target="https://www.dst.dk/websites/extranet/db25/db25.html" TargetMode="External"/><Relationship Id="rId142" Type="http://schemas.openxmlformats.org/officeDocument/2006/relationships/hyperlink" Target="https://www.dst.dk/websites/extranet/db25/db25.html" TargetMode="External"/><Relationship Id="rId184" Type="http://schemas.openxmlformats.org/officeDocument/2006/relationships/hyperlink" Target="https://www.dst.dk/websites/extranet/db25/db25.html" TargetMode="External"/><Relationship Id="rId391" Type="http://schemas.openxmlformats.org/officeDocument/2006/relationships/hyperlink" Target="https://www.dst.dk/websites/extranet/db25/db25.html" TargetMode="External"/><Relationship Id="rId405" Type="http://schemas.openxmlformats.org/officeDocument/2006/relationships/hyperlink" Target="https://www.dst.dk/websites/extranet/db25/db25.html" TargetMode="External"/><Relationship Id="rId447" Type="http://schemas.openxmlformats.org/officeDocument/2006/relationships/hyperlink" Target="https://www.dst.dk/websites/extranet/db25/db25.html" TargetMode="External"/><Relationship Id="rId612" Type="http://schemas.openxmlformats.org/officeDocument/2006/relationships/hyperlink" Target="https://www.dst.dk/websites/extranet/db25/db25.html" TargetMode="External"/><Relationship Id="rId251" Type="http://schemas.openxmlformats.org/officeDocument/2006/relationships/hyperlink" Target="https://www.dst.dk/websites/extranet/db25/db25.html" TargetMode="External"/><Relationship Id="rId489" Type="http://schemas.openxmlformats.org/officeDocument/2006/relationships/hyperlink" Target="https://www.dst.dk/websites/extranet/db25/db25.html" TargetMode="External"/><Relationship Id="rId654" Type="http://schemas.openxmlformats.org/officeDocument/2006/relationships/hyperlink" Target="https://www.dst.dk/websites/extranet/db25/db25.html" TargetMode="External"/><Relationship Id="rId696" Type="http://schemas.openxmlformats.org/officeDocument/2006/relationships/hyperlink" Target="https://www.dst.dk/websites/extranet/db25/db25.html" TargetMode="External"/><Relationship Id="rId46" Type="http://schemas.openxmlformats.org/officeDocument/2006/relationships/hyperlink" Target="https://www.dst.dk/websites/extranet/db25/db25.html" TargetMode="External"/><Relationship Id="rId293" Type="http://schemas.openxmlformats.org/officeDocument/2006/relationships/hyperlink" Target="https://www.dst.dk/websites/extranet/db25/db25.html" TargetMode="External"/><Relationship Id="rId307" Type="http://schemas.openxmlformats.org/officeDocument/2006/relationships/hyperlink" Target="https://www.dst.dk/websites/extranet/db25/db25.html" TargetMode="External"/><Relationship Id="rId349" Type="http://schemas.openxmlformats.org/officeDocument/2006/relationships/hyperlink" Target="https://www.dst.dk/websites/extranet/db25/db25.html" TargetMode="External"/><Relationship Id="rId514" Type="http://schemas.openxmlformats.org/officeDocument/2006/relationships/hyperlink" Target="https://www.dst.dk/websites/extranet/db25/db25.html" TargetMode="External"/><Relationship Id="rId556" Type="http://schemas.openxmlformats.org/officeDocument/2006/relationships/hyperlink" Target="https://www.dst.dk/websites/extranet/db25/db25.html" TargetMode="External"/><Relationship Id="rId721" Type="http://schemas.openxmlformats.org/officeDocument/2006/relationships/hyperlink" Target="https://www.dst.dk/websites/extranet/db25/db25.html" TargetMode="External"/><Relationship Id="rId88" Type="http://schemas.openxmlformats.org/officeDocument/2006/relationships/hyperlink" Target="https://www.dst.dk/websites/extranet/db25/db25.html" TargetMode="External"/><Relationship Id="rId111" Type="http://schemas.openxmlformats.org/officeDocument/2006/relationships/hyperlink" Target="https://www.dst.dk/websites/extranet/db25/db25.html" TargetMode="External"/><Relationship Id="rId153" Type="http://schemas.openxmlformats.org/officeDocument/2006/relationships/hyperlink" Target="https://www.dst.dk/websites/extranet/db25/db25.html" TargetMode="External"/><Relationship Id="rId195" Type="http://schemas.openxmlformats.org/officeDocument/2006/relationships/hyperlink" Target="https://www.dst.dk/websites/extranet/db25/db25.html" TargetMode="External"/><Relationship Id="rId209" Type="http://schemas.openxmlformats.org/officeDocument/2006/relationships/hyperlink" Target="https://www.dst.dk/websites/extranet/db25/db25.html" TargetMode="External"/><Relationship Id="rId360" Type="http://schemas.openxmlformats.org/officeDocument/2006/relationships/hyperlink" Target="https://www.dst.dk/websites/extranet/db25/db25.html" TargetMode="External"/><Relationship Id="rId416" Type="http://schemas.openxmlformats.org/officeDocument/2006/relationships/hyperlink" Target="https://www.dst.dk/websites/extranet/db25/db25.html" TargetMode="External"/><Relationship Id="rId598" Type="http://schemas.openxmlformats.org/officeDocument/2006/relationships/hyperlink" Target="https://www.dst.dk/websites/extranet/db25/db25.html" TargetMode="External"/><Relationship Id="rId220" Type="http://schemas.openxmlformats.org/officeDocument/2006/relationships/hyperlink" Target="https://www.dst.dk/websites/extranet/db25/db25.html" TargetMode="External"/><Relationship Id="rId458" Type="http://schemas.openxmlformats.org/officeDocument/2006/relationships/hyperlink" Target="https://www.dst.dk/websites/extranet/db25/db25.html" TargetMode="External"/><Relationship Id="rId623" Type="http://schemas.openxmlformats.org/officeDocument/2006/relationships/hyperlink" Target="https://www.dst.dk/websites/extranet/db25/db25.html" TargetMode="External"/><Relationship Id="rId665" Type="http://schemas.openxmlformats.org/officeDocument/2006/relationships/hyperlink" Target="https://www.dst.dk/websites/extranet/db25/db25.html" TargetMode="External"/><Relationship Id="rId15" Type="http://schemas.openxmlformats.org/officeDocument/2006/relationships/hyperlink" Target="https://www.dst.dk/websites/extranet/db25/db25.html" TargetMode="External"/><Relationship Id="rId57" Type="http://schemas.openxmlformats.org/officeDocument/2006/relationships/hyperlink" Target="https://www.dst.dk/websites/extranet/db25/db25.html" TargetMode="External"/><Relationship Id="rId262" Type="http://schemas.openxmlformats.org/officeDocument/2006/relationships/hyperlink" Target="https://www.dst.dk/websites/extranet/db25/db25.html" TargetMode="External"/><Relationship Id="rId318" Type="http://schemas.openxmlformats.org/officeDocument/2006/relationships/hyperlink" Target="https://www.dst.dk/websites/extranet/db25/db25.html" TargetMode="External"/><Relationship Id="rId525" Type="http://schemas.openxmlformats.org/officeDocument/2006/relationships/hyperlink" Target="https://www.dst.dk/websites/extranet/db25/db25.html" TargetMode="External"/><Relationship Id="rId567" Type="http://schemas.openxmlformats.org/officeDocument/2006/relationships/hyperlink" Target="https://www.dst.dk/websites/extranet/db25/db25.html" TargetMode="External"/><Relationship Id="rId732" Type="http://schemas.openxmlformats.org/officeDocument/2006/relationships/hyperlink" Target="https://www.dst.dk/websites/extranet/db25/db25.html" TargetMode="External"/><Relationship Id="rId99" Type="http://schemas.openxmlformats.org/officeDocument/2006/relationships/hyperlink" Target="https://www.dst.dk/websites/extranet/db25/db25.html" TargetMode="External"/><Relationship Id="rId122" Type="http://schemas.openxmlformats.org/officeDocument/2006/relationships/hyperlink" Target="https://www.dst.dk/websites/extranet/db25/db25.html" TargetMode="External"/><Relationship Id="rId164" Type="http://schemas.openxmlformats.org/officeDocument/2006/relationships/hyperlink" Target="https://www.dst.dk/websites/extranet/db25/db25.html" TargetMode="External"/><Relationship Id="rId371" Type="http://schemas.openxmlformats.org/officeDocument/2006/relationships/hyperlink" Target="https://www.dst.dk/websites/extranet/db25/db25.html" TargetMode="External"/><Relationship Id="rId427" Type="http://schemas.openxmlformats.org/officeDocument/2006/relationships/hyperlink" Target="https://www.dst.dk/websites/extranet/db25/db25.html" TargetMode="External"/><Relationship Id="rId469" Type="http://schemas.openxmlformats.org/officeDocument/2006/relationships/hyperlink" Target="https://www.dst.dk/websites/extranet/db25/db25.html" TargetMode="External"/><Relationship Id="rId634" Type="http://schemas.openxmlformats.org/officeDocument/2006/relationships/hyperlink" Target="https://www.dst.dk/websites/extranet/db25/db25.html" TargetMode="External"/><Relationship Id="rId676" Type="http://schemas.openxmlformats.org/officeDocument/2006/relationships/hyperlink" Target="https://www.dst.dk/websites/extranet/db25/db25.html" TargetMode="External"/><Relationship Id="rId26" Type="http://schemas.openxmlformats.org/officeDocument/2006/relationships/hyperlink" Target="https://www.dst.dk/websites/extranet/db25/db25.html" TargetMode="External"/><Relationship Id="rId231" Type="http://schemas.openxmlformats.org/officeDocument/2006/relationships/hyperlink" Target="https://www.dst.dk/websites/extranet/db25/db25.html" TargetMode="External"/><Relationship Id="rId273" Type="http://schemas.openxmlformats.org/officeDocument/2006/relationships/hyperlink" Target="https://www.dst.dk/websites/extranet/db25/db25.html" TargetMode="External"/><Relationship Id="rId329" Type="http://schemas.openxmlformats.org/officeDocument/2006/relationships/hyperlink" Target="https://www.dst.dk/websites/extranet/db25/db25.html" TargetMode="External"/><Relationship Id="rId480" Type="http://schemas.openxmlformats.org/officeDocument/2006/relationships/hyperlink" Target="https://www.dst.dk/websites/extranet/db25/db25.html" TargetMode="External"/><Relationship Id="rId536" Type="http://schemas.openxmlformats.org/officeDocument/2006/relationships/hyperlink" Target="https://www.dst.dk/websites/extranet/db25/db25.html" TargetMode="External"/><Relationship Id="rId701" Type="http://schemas.openxmlformats.org/officeDocument/2006/relationships/hyperlink" Target="https://www.dst.dk/websites/extranet/db25/db25.html" TargetMode="External"/><Relationship Id="rId68" Type="http://schemas.openxmlformats.org/officeDocument/2006/relationships/hyperlink" Target="https://www.dst.dk/websites/extranet/db25/db25.html" TargetMode="External"/><Relationship Id="rId133" Type="http://schemas.openxmlformats.org/officeDocument/2006/relationships/hyperlink" Target="https://www.dst.dk/websites/extranet/db25/db25.html" TargetMode="External"/><Relationship Id="rId175" Type="http://schemas.openxmlformats.org/officeDocument/2006/relationships/hyperlink" Target="https://www.dst.dk/websites/extranet/db25/db25.html" TargetMode="External"/><Relationship Id="rId340" Type="http://schemas.openxmlformats.org/officeDocument/2006/relationships/hyperlink" Target="https://www.dst.dk/websites/extranet/db25/db25.html" TargetMode="External"/><Relationship Id="rId578" Type="http://schemas.openxmlformats.org/officeDocument/2006/relationships/hyperlink" Target="https://www.dst.dk/websites/extranet/db25/db25.html" TargetMode="External"/><Relationship Id="rId200" Type="http://schemas.openxmlformats.org/officeDocument/2006/relationships/hyperlink" Target="https://www.dst.dk/websites/extranet/db25/db25.html" TargetMode="External"/><Relationship Id="rId382" Type="http://schemas.openxmlformats.org/officeDocument/2006/relationships/hyperlink" Target="https://www.dst.dk/websites/extranet/db25/db25.html" TargetMode="External"/><Relationship Id="rId438" Type="http://schemas.openxmlformats.org/officeDocument/2006/relationships/hyperlink" Target="https://www.dst.dk/websites/extranet/db25/db25.html" TargetMode="External"/><Relationship Id="rId603" Type="http://schemas.openxmlformats.org/officeDocument/2006/relationships/hyperlink" Target="https://www.dst.dk/websites/extranet/db25/db25.html" TargetMode="External"/><Relationship Id="rId645" Type="http://schemas.openxmlformats.org/officeDocument/2006/relationships/hyperlink" Target="https://www.dst.dk/websites/extranet/db25/db25.html" TargetMode="External"/><Relationship Id="rId687" Type="http://schemas.openxmlformats.org/officeDocument/2006/relationships/hyperlink" Target="https://www.dst.dk/websites/extranet/db25/db25.html" TargetMode="External"/><Relationship Id="rId242" Type="http://schemas.openxmlformats.org/officeDocument/2006/relationships/hyperlink" Target="https://www.dst.dk/websites/extranet/db25/db25.html" TargetMode="External"/><Relationship Id="rId284" Type="http://schemas.openxmlformats.org/officeDocument/2006/relationships/hyperlink" Target="https://www.dst.dk/websites/extranet/db25/db25.html" TargetMode="External"/><Relationship Id="rId491" Type="http://schemas.openxmlformats.org/officeDocument/2006/relationships/hyperlink" Target="https://www.dst.dk/websites/extranet/db25/db25.html" TargetMode="External"/><Relationship Id="rId505" Type="http://schemas.openxmlformats.org/officeDocument/2006/relationships/hyperlink" Target="https://www.dst.dk/websites/extranet/db25/db25.html" TargetMode="External"/><Relationship Id="rId712" Type="http://schemas.openxmlformats.org/officeDocument/2006/relationships/hyperlink" Target="https://www.dst.dk/websites/extranet/db25/db25.html" TargetMode="External"/><Relationship Id="rId37" Type="http://schemas.openxmlformats.org/officeDocument/2006/relationships/hyperlink" Target="https://www.dst.dk/websites/extranet/db25/db25.html" TargetMode="External"/><Relationship Id="rId79" Type="http://schemas.openxmlformats.org/officeDocument/2006/relationships/hyperlink" Target="https://www.dst.dk/websites/extranet/db25/db25.html" TargetMode="External"/><Relationship Id="rId102" Type="http://schemas.openxmlformats.org/officeDocument/2006/relationships/hyperlink" Target="https://www.dst.dk/websites/extranet/db25/db25.html" TargetMode="External"/><Relationship Id="rId144" Type="http://schemas.openxmlformats.org/officeDocument/2006/relationships/hyperlink" Target="https://www.dst.dk/websites/extranet/db25/db25.html" TargetMode="External"/><Relationship Id="rId547" Type="http://schemas.openxmlformats.org/officeDocument/2006/relationships/hyperlink" Target="https://www.dst.dk/websites/extranet/db25/db25.html" TargetMode="External"/><Relationship Id="rId589" Type="http://schemas.openxmlformats.org/officeDocument/2006/relationships/hyperlink" Target="https://www.dst.dk/websites/extranet/db25/db25.html" TargetMode="External"/><Relationship Id="rId90" Type="http://schemas.openxmlformats.org/officeDocument/2006/relationships/hyperlink" Target="https://www.dst.dk/websites/extranet/db25/db25.html" TargetMode="External"/><Relationship Id="rId186" Type="http://schemas.openxmlformats.org/officeDocument/2006/relationships/hyperlink" Target="https://www.dst.dk/websites/extranet/db25/db25.html" TargetMode="External"/><Relationship Id="rId351" Type="http://schemas.openxmlformats.org/officeDocument/2006/relationships/hyperlink" Target="https://www.dst.dk/websites/extranet/db25/db25.html" TargetMode="External"/><Relationship Id="rId393" Type="http://schemas.openxmlformats.org/officeDocument/2006/relationships/hyperlink" Target="https://www.dst.dk/websites/extranet/db25/db25.html" TargetMode="External"/><Relationship Id="rId407" Type="http://schemas.openxmlformats.org/officeDocument/2006/relationships/hyperlink" Target="https://www.dst.dk/websites/extranet/db25/db25.html" TargetMode="External"/><Relationship Id="rId449" Type="http://schemas.openxmlformats.org/officeDocument/2006/relationships/hyperlink" Target="https://www.dst.dk/websites/extranet/db25/db25.html" TargetMode="External"/><Relationship Id="rId614" Type="http://schemas.openxmlformats.org/officeDocument/2006/relationships/hyperlink" Target="https://www.dst.dk/websites/extranet/db25/db25.html" TargetMode="External"/><Relationship Id="rId656" Type="http://schemas.openxmlformats.org/officeDocument/2006/relationships/hyperlink" Target="https://www.dst.dk/websites/extranet/db25/db25.html" TargetMode="External"/><Relationship Id="rId211" Type="http://schemas.openxmlformats.org/officeDocument/2006/relationships/hyperlink" Target="https://www.dst.dk/websites/extranet/db25/db25.html" TargetMode="External"/><Relationship Id="rId253" Type="http://schemas.openxmlformats.org/officeDocument/2006/relationships/hyperlink" Target="https://www.dst.dk/websites/extranet/db25/db25.html" TargetMode="External"/><Relationship Id="rId295" Type="http://schemas.openxmlformats.org/officeDocument/2006/relationships/hyperlink" Target="https://www.dst.dk/websites/extranet/db25/db25.html" TargetMode="External"/><Relationship Id="rId309" Type="http://schemas.openxmlformats.org/officeDocument/2006/relationships/hyperlink" Target="https://www.dst.dk/websites/extranet/db25/db25.html" TargetMode="External"/><Relationship Id="rId460" Type="http://schemas.openxmlformats.org/officeDocument/2006/relationships/hyperlink" Target="https://www.dst.dk/websites/extranet/db25/db25.html" TargetMode="External"/><Relationship Id="rId516" Type="http://schemas.openxmlformats.org/officeDocument/2006/relationships/hyperlink" Target="https://www.dst.dk/websites/extranet/db25/db25.html" TargetMode="External"/><Relationship Id="rId698" Type="http://schemas.openxmlformats.org/officeDocument/2006/relationships/hyperlink" Target="https://www.dst.dk/websites/extranet/db25/db25.html" TargetMode="External"/><Relationship Id="rId48" Type="http://schemas.openxmlformats.org/officeDocument/2006/relationships/hyperlink" Target="https://www.dst.dk/websites/extranet/db25/db25.html" TargetMode="External"/><Relationship Id="rId113" Type="http://schemas.openxmlformats.org/officeDocument/2006/relationships/hyperlink" Target="https://www.dst.dk/websites/extranet/db25/db25.html" TargetMode="External"/><Relationship Id="rId320" Type="http://schemas.openxmlformats.org/officeDocument/2006/relationships/hyperlink" Target="https://www.dst.dk/websites/extranet/db25/db25.html" TargetMode="External"/><Relationship Id="rId558" Type="http://schemas.openxmlformats.org/officeDocument/2006/relationships/hyperlink" Target="https://www.dst.dk/websites/extranet/db25/db25.html" TargetMode="External"/><Relationship Id="rId723" Type="http://schemas.openxmlformats.org/officeDocument/2006/relationships/hyperlink" Target="https://www.dst.dk/websites/extranet/db25/db25.html" TargetMode="External"/><Relationship Id="rId155" Type="http://schemas.openxmlformats.org/officeDocument/2006/relationships/hyperlink" Target="https://www.dst.dk/websites/extranet/db25/db25.html" TargetMode="External"/><Relationship Id="rId197" Type="http://schemas.openxmlformats.org/officeDocument/2006/relationships/hyperlink" Target="https://www.dst.dk/websites/extranet/db25/db25.html" TargetMode="External"/><Relationship Id="rId362" Type="http://schemas.openxmlformats.org/officeDocument/2006/relationships/hyperlink" Target="https://www.dst.dk/websites/extranet/db25/db25.html" TargetMode="External"/><Relationship Id="rId418" Type="http://schemas.openxmlformats.org/officeDocument/2006/relationships/hyperlink" Target="https://www.dst.dk/websites/extranet/db25/db25.html" TargetMode="External"/><Relationship Id="rId625" Type="http://schemas.openxmlformats.org/officeDocument/2006/relationships/hyperlink" Target="https://www.dst.dk/websites/extranet/db25/db25.html" TargetMode="External"/><Relationship Id="rId222" Type="http://schemas.openxmlformats.org/officeDocument/2006/relationships/hyperlink" Target="https://www.dst.dk/websites/extranet/db25/db25.html" TargetMode="External"/><Relationship Id="rId264" Type="http://schemas.openxmlformats.org/officeDocument/2006/relationships/hyperlink" Target="https://www.dst.dk/websites/extranet/db25/db25.html" TargetMode="External"/><Relationship Id="rId471" Type="http://schemas.openxmlformats.org/officeDocument/2006/relationships/hyperlink" Target="https://www.dst.dk/websites/extranet/db25/db25.html" TargetMode="External"/><Relationship Id="rId667" Type="http://schemas.openxmlformats.org/officeDocument/2006/relationships/hyperlink" Target="https://www.dst.dk/websites/extranet/db25/db25.html" TargetMode="External"/><Relationship Id="rId17" Type="http://schemas.openxmlformats.org/officeDocument/2006/relationships/hyperlink" Target="https://www.dst.dk/websites/extranet/db25/db25.html" TargetMode="External"/><Relationship Id="rId59" Type="http://schemas.openxmlformats.org/officeDocument/2006/relationships/hyperlink" Target="https://www.dst.dk/websites/extranet/db25/db25.html" TargetMode="External"/><Relationship Id="rId124" Type="http://schemas.openxmlformats.org/officeDocument/2006/relationships/hyperlink" Target="https://www.dst.dk/websites/extranet/db25/db25.html" TargetMode="External"/><Relationship Id="rId527" Type="http://schemas.openxmlformats.org/officeDocument/2006/relationships/hyperlink" Target="https://www.dst.dk/websites/extranet/db25/db25.html" TargetMode="External"/><Relationship Id="rId569" Type="http://schemas.openxmlformats.org/officeDocument/2006/relationships/hyperlink" Target="https://www.dst.dk/websites/extranet/db25/db25.html" TargetMode="External"/><Relationship Id="rId734" Type="http://schemas.openxmlformats.org/officeDocument/2006/relationships/hyperlink" Target="https://www.dst.dk/websites/extranet/db25/db25.html" TargetMode="External"/><Relationship Id="rId70" Type="http://schemas.openxmlformats.org/officeDocument/2006/relationships/hyperlink" Target="https://www.dst.dk/websites/extranet/db25/db25.html" TargetMode="External"/><Relationship Id="rId166" Type="http://schemas.openxmlformats.org/officeDocument/2006/relationships/hyperlink" Target="https://www.dst.dk/websites/extranet/db25/db25.html" TargetMode="External"/><Relationship Id="rId331" Type="http://schemas.openxmlformats.org/officeDocument/2006/relationships/hyperlink" Target="https://www.dst.dk/websites/extranet/db25/db25.html" TargetMode="External"/><Relationship Id="rId373" Type="http://schemas.openxmlformats.org/officeDocument/2006/relationships/hyperlink" Target="https://www.dst.dk/websites/extranet/db25/db25.html" TargetMode="External"/><Relationship Id="rId429" Type="http://schemas.openxmlformats.org/officeDocument/2006/relationships/hyperlink" Target="https://www.dst.dk/websites/extranet/db25/db25.html" TargetMode="External"/><Relationship Id="rId580" Type="http://schemas.openxmlformats.org/officeDocument/2006/relationships/hyperlink" Target="https://www.dst.dk/websites/extranet/db25/db25.html" TargetMode="External"/><Relationship Id="rId636" Type="http://schemas.openxmlformats.org/officeDocument/2006/relationships/hyperlink" Target="https://www.dst.dk/websites/extranet/db25/db25.html" TargetMode="External"/><Relationship Id="rId1" Type="http://schemas.openxmlformats.org/officeDocument/2006/relationships/hyperlink" Target="https://www.dst.dk/websites/extranet/db25/db25.html" TargetMode="External"/><Relationship Id="rId233" Type="http://schemas.openxmlformats.org/officeDocument/2006/relationships/hyperlink" Target="https://www.dst.dk/websites/extranet/db25/db25.html" TargetMode="External"/><Relationship Id="rId440" Type="http://schemas.openxmlformats.org/officeDocument/2006/relationships/hyperlink" Target="https://www.dst.dk/websites/extranet/db25/db25.html" TargetMode="External"/><Relationship Id="rId678" Type="http://schemas.openxmlformats.org/officeDocument/2006/relationships/hyperlink" Target="https://www.dst.dk/websites/extranet/db25/db25.html" TargetMode="External"/><Relationship Id="rId28" Type="http://schemas.openxmlformats.org/officeDocument/2006/relationships/hyperlink" Target="https://www.dst.dk/websites/extranet/db25/db25.html" TargetMode="External"/><Relationship Id="rId275" Type="http://schemas.openxmlformats.org/officeDocument/2006/relationships/hyperlink" Target="https://www.dst.dk/websites/extranet/db25/db25.html" TargetMode="External"/><Relationship Id="rId300" Type="http://schemas.openxmlformats.org/officeDocument/2006/relationships/hyperlink" Target="https://www.dst.dk/websites/extranet/db25/db25.html" TargetMode="External"/><Relationship Id="rId482" Type="http://schemas.openxmlformats.org/officeDocument/2006/relationships/hyperlink" Target="https://www.dst.dk/websites/extranet/db25/db25.html" TargetMode="External"/><Relationship Id="rId538" Type="http://schemas.openxmlformats.org/officeDocument/2006/relationships/hyperlink" Target="https://www.dst.dk/websites/extranet/db25/db25.html" TargetMode="External"/><Relationship Id="rId703" Type="http://schemas.openxmlformats.org/officeDocument/2006/relationships/hyperlink" Target="https://www.dst.dk/websites/extranet/db25/db25.html" TargetMode="External"/><Relationship Id="rId81" Type="http://schemas.openxmlformats.org/officeDocument/2006/relationships/hyperlink" Target="https://www.dst.dk/websites/extranet/db25/db25.html" TargetMode="External"/><Relationship Id="rId135" Type="http://schemas.openxmlformats.org/officeDocument/2006/relationships/hyperlink" Target="https://www.dst.dk/websites/extranet/db25/db25.html" TargetMode="External"/><Relationship Id="rId177" Type="http://schemas.openxmlformats.org/officeDocument/2006/relationships/hyperlink" Target="https://www.dst.dk/websites/extranet/db25/db25.html" TargetMode="External"/><Relationship Id="rId342" Type="http://schemas.openxmlformats.org/officeDocument/2006/relationships/hyperlink" Target="https://www.dst.dk/websites/extranet/db25/db25.html" TargetMode="External"/><Relationship Id="rId384" Type="http://schemas.openxmlformats.org/officeDocument/2006/relationships/hyperlink" Target="https://www.dst.dk/websites/extranet/db25/db25.html" TargetMode="External"/><Relationship Id="rId591" Type="http://schemas.openxmlformats.org/officeDocument/2006/relationships/hyperlink" Target="https://www.dst.dk/websites/extranet/db25/db25.html" TargetMode="External"/><Relationship Id="rId605" Type="http://schemas.openxmlformats.org/officeDocument/2006/relationships/hyperlink" Target="https://www.dst.dk/websites/extranet/db25/db25.html" TargetMode="External"/><Relationship Id="rId202" Type="http://schemas.openxmlformats.org/officeDocument/2006/relationships/hyperlink" Target="https://www.dst.dk/websites/extranet/db25/db25.html" TargetMode="External"/><Relationship Id="rId244" Type="http://schemas.openxmlformats.org/officeDocument/2006/relationships/hyperlink" Target="https://www.dst.dk/websites/extranet/db25/db25.html" TargetMode="External"/><Relationship Id="rId647" Type="http://schemas.openxmlformats.org/officeDocument/2006/relationships/hyperlink" Target="https://www.dst.dk/websites/extranet/db25/db25.html" TargetMode="External"/><Relationship Id="rId689" Type="http://schemas.openxmlformats.org/officeDocument/2006/relationships/hyperlink" Target="https://www.dst.dk/websites/extranet/db25/db25.html" TargetMode="External"/><Relationship Id="rId39" Type="http://schemas.openxmlformats.org/officeDocument/2006/relationships/hyperlink" Target="https://www.dst.dk/websites/extranet/db25/db25.html" TargetMode="External"/><Relationship Id="rId286" Type="http://schemas.openxmlformats.org/officeDocument/2006/relationships/hyperlink" Target="https://www.dst.dk/websites/extranet/db25/db25.html" TargetMode="External"/><Relationship Id="rId451" Type="http://schemas.openxmlformats.org/officeDocument/2006/relationships/hyperlink" Target="https://www.dst.dk/websites/extranet/db25/db25.html" TargetMode="External"/><Relationship Id="rId493" Type="http://schemas.openxmlformats.org/officeDocument/2006/relationships/hyperlink" Target="https://www.dst.dk/websites/extranet/db25/db25.html" TargetMode="External"/><Relationship Id="rId507" Type="http://schemas.openxmlformats.org/officeDocument/2006/relationships/hyperlink" Target="https://www.dst.dk/websites/extranet/db25/db25.html" TargetMode="External"/><Relationship Id="rId549" Type="http://schemas.openxmlformats.org/officeDocument/2006/relationships/hyperlink" Target="https://www.dst.dk/websites/extranet/db25/db25.html" TargetMode="External"/><Relationship Id="rId714" Type="http://schemas.openxmlformats.org/officeDocument/2006/relationships/hyperlink" Target="https://www.dst.dk/websites/extranet/db25/db25.html" TargetMode="External"/><Relationship Id="rId50" Type="http://schemas.openxmlformats.org/officeDocument/2006/relationships/hyperlink" Target="https://www.dst.dk/websites/extranet/db25/db25.html" TargetMode="External"/><Relationship Id="rId104" Type="http://schemas.openxmlformats.org/officeDocument/2006/relationships/hyperlink" Target="https://www.dst.dk/websites/extranet/db25/db25.html" TargetMode="External"/><Relationship Id="rId146" Type="http://schemas.openxmlformats.org/officeDocument/2006/relationships/hyperlink" Target="https://www.dst.dk/websites/extranet/db25/db25.html" TargetMode="External"/><Relationship Id="rId188" Type="http://schemas.openxmlformats.org/officeDocument/2006/relationships/hyperlink" Target="https://www.dst.dk/websites/extranet/db25/db25.html" TargetMode="External"/><Relationship Id="rId311" Type="http://schemas.openxmlformats.org/officeDocument/2006/relationships/hyperlink" Target="https://www.dst.dk/websites/extranet/db25/db25.html" TargetMode="External"/><Relationship Id="rId353" Type="http://schemas.openxmlformats.org/officeDocument/2006/relationships/hyperlink" Target="https://www.dst.dk/websites/extranet/db25/db25.html" TargetMode="External"/><Relationship Id="rId395" Type="http://schemas.openxmlformats.org/officeDocument/2006/relationships/hyperlink" Target="https://www.dst.dk/websites/extranet/db25/db25.html" TargetMode="External"/><Relationship Id="rId409" Type="http://schemas.openxmlformats.org/officeDocument/2006/relationships/hyperlink" Target="https://www.dst.dk/websites/extranet/db25/db25.html" TargetMode="External"/><Relationship Id="rId560" Type="http://schemas.openxmlformats.org/officeDocument/2006/relationships/hyperlink" Target="https://www.dst.dk/websites/extranet/db25/db25.html" TargetMode="External"/><Relationship Id="rId92" Type="http://schemas.openxmlformats.org/officeDocument/2006/relationships/hyperlink" Target="https://www.dst.dk/websites/extranet/db25/db25.html" TargetMode="External"/><Relationship Id="rId213" Type="http://schemas.openxmlformats.org/officeDocument/2006/relationships/hyperlink" Target="https://www.dst.dk/websites/extranet/db25/db25.html" TargetMode="External"/><Relationship Id="rId420" Type="http://schemas.openxmlformats.org/officeDocument/2006/relationships/hyperlink" Target="https://www.dst.dk/websites/extranet/db25/db25.html" TargetMode="External"/><Relationship Id="rId616" Type="http://schemas.openxmlformats.org/officeDocument/2006/relationships/hyperlink" Target="https://www.dst.dk/websites/extranet/db25/db25.html" TargetMode="External"/><Relationship Id="rId658" Type="http://schemas.openxmlformats.org/officeDocument/2006/relationships/hyperlink" Target="https://www.dst.dk/websites/extranet/db25/db25.html" TargetMode="External"/><Relationship Id="rId255" Type="http://schemas.openxmlformats.org/officeDocument/2006/relationships/hyperlink" Target="https://www.dst.dk/websites/extranet/db25/db25.html" TargetMode="External"/><Relationship Id="rId297" Type="http://schemas.openxmlformats.org/officeDocument/2006/relationships/hyperlink" Target="https://www.dst.dk/websites/extranet/db25/db25.html" TargetMode="External"/><Relationship Id="rId462" Type="http://schemas.openxmlformats.org/officeDocument/2006/relationships/hyperlink" Target="https://www.dst.dk/websites/extranet/db25/db25.html" TargetMode="External"/><Relationship Id="rId518" Type="http://schemas.openxmlformats.org/officeDocument/2006/relationships/hyperlink" Target="https://www.dst.dk/websites/extranet/db25/db25.html" TargetMode="External"/><Relationship Id="rId725" Type="http://schemas.openxmlformats.org/officeDocument/2006/relationships/hyperlink" Target="https://www.dst.dk/websites/extranet/db25/db25.html" TargetMode="External"/><Relationship Id="rId115" Type="http://schemas.openxmlformats.org/officeDocument/2006/relationships/hyperlink" Target="https://www.dst.dk/websites/extranet/db25/db25.html" TargetMode="External"/><Relationship Id="rId157" Type="http://schemas.openxmlformats.org/officeDocument/2006/relationships/hyperlink" Target="https://www.dst.dk/websites/extranet/db25/db25.html" TargetMode="External"/><Relationship Id="rId322" Type="http://schemas.openxmlformats.org/officeDocument/2006/relationships/hyperlink" Target="https://www.dst.dk/websites/extranet/db25/db25.html" TargetMode="External"/><Relationship Id="rId364" Type="http://schemas.openxmlformats.org/officeDocument/2006/relationships/hyperlink" Target="https://www.dst.dk/websites/extranet/db25/db25.html" TargetMode="External"/><Relationship Id="rId61" Type="http://schemas.openxmlformats.org/officeDocument/2006/relationships/hyperlink" Target="https://www.dst.dk/websites/extranet/db25/db25.html" TargetMode="External"/><Relationship Id="rId199" Type="http://schemas.openxmlformats.org/officeDocument/2006/relationships/hyperlink" Target="https://www.dst.dk/websites/extranet/db25/db25.html" TargetMode="External"/><Relationship Id="rId571" Type="http://schemas.openxmlformats.org/officeDocument/2006/relationships/hyperlink" Target="https://www.dst.dk/websites/extranet/db25/db25.html" TargetMode="External"/><Relationship Id="rId627" Type="http://schemas.openxmlformats.org/officeDocument/2006/relationships/hyperlink" Target="https://www.dst.dk/websites/extranet/db25/db25.html" TargetMode="External"/><Relationship Id="rId669" Type="http://schemas.openxmlformats.org/officeDocument/2006/relationships/hyperlink" Target="https://www.dst.dk/websites/extranet/db25/db25.html" TargetMode="External"/><Relationship Id="rId19" Type="http://schemas.openxmlformats.org/officeDocument/2006/relationships/hyperlink" Target="https://www.dst.dk/websites/extranet/db25/db25.html" TargetMode="External"/><Relationship Id="rId224" Type="http://schemas.openxmlformats.org/officeDocument/2006/relationships/hyperlink" Target="https://www.dst.dk/websites/extranet/db25/db25.html" TargetMode="External"/><Relationship Id="rId266" Type="http://schemas.openxmlformats.org/officeDocument/2006/relationships/hyperlink" Target="https://www.dst.dk/websites/extranet/db25/db25.html" TargetMode="External"/><Relationship Id="rId431" Type="http://schemas.openxmlformats.org/officeDocument/2006/relationships/hyperlink" Target="https://www.dst.dk/websites/extranet/db25/db25.html" TargetMode="External"/><Relationship Id="rId473" Type="http://schemas.openxmlformats.org/officeDocument/2006/relationships/hyperlink" Target="https://www.dst.dk/websites/extranet/db25/db25.html" TargetMode="External"/><Relationship Id="rId529" Type="http://schemas.openxmlformats.org/officeDocument/2006/relationships/hyperlink" Target="https://www.dst.dk/websites/extranet/db25/db25.html" TargetMode="External"/><Relationship Id="rId680" Type="http://schemas.openxmlformats.org/officeDocument/2006/relationships/hyperlink" Target="https://www.dst.dk/websites/extranet/db25/db25.html" TargetMode="External"/><Relationship Id="rId736" Type="http://schemas.openxmlformats.org/officeDocument/2006/relationships/hyperlink" Target="https://www.dst.dk/websites/extranet/db25/db25.html" TargetMode="External"/><Relationship Id="rId30" Type="http://schemas.openxmlformats.org/officeDocument/2006/relationships/hyperlink" Target="https://www.dst.dk/websites/extranet/db25/db25.html" TargetMode="External"/><Relationship Id="rId126" Type="http://schemas.openxmlformats.org/officeDocument/2006/relationships/hyperlink" Target="https://www.dst.dk/websites/extranet/db25/db25.html" TargetMode="External"/><Relationship Id="rId168" Type="http://schemas.openxmlformats.org/officeDocument/2006/relationships/hyperlink" Target="https://www.dst.dk/websites/extranet/db25/db25.html" TargetMode="External"/><Relationship Id="rId333" Type="http://schemas.openxmlformats.org/officeDocument/2006/relationships/hyperlink" Target="https://www.dst.dk/websites/extranet/db25/db25.html" TargetMode="External"/><Relationship Id="rId540" Type="http://schemas.openxmlformats.org/officeDocument/2006/relationships/hyperlink" Target="https://www.dst.dk/websites/extranet/db25/db25.html" TargetMode="External"/><Relationship Id="rId72" Type="http://schemas.openxmlformats.org/officeDocument/2006/relationships/hyperlink" Target="https://www.dst.dk/websites/extranet/db25/db25.html" TargetMode="External"/><Relationship Id="rId375" Type="http://schemas.openxmlformats.org/officeDocument/2006/relationships/hyperlink" Target="https://www.dst.dk/websites/extranet/db25/db25.html" TargetMode="External"/><Relationship Id="rId582" Type="http://schemas.openxmlformats.org/officeDocument/2006/relationships/hyperlink" Target="https://www.dst.dk/websites/extranet/db25/db25.html" TargetMode="External"/><Relationship Id="rId638" Type="http://schemas.openxmlformats.org/officeDocument/2006/relationships/hyperlink" Target="https://www.dst.dk/websites/extranet/db25/db25.html" TargetMode="External"/><Relationship Id="rId3" Type="http://schemas.openxmlformats.org/officeDocument/2006/relationships/hyperlink" Target="https://www.dst.dk/websites/extranet/db25/db25.html" TargetMode="External"/><Relationship Id="rId235" Type="http://schemas.openxmlformats.org/officeDocument/2006/relationships/hyperlink" Target="https://www.dst.dk/websites/extranet/db25/db25.html" TargetMode="External"/><Relationship Id="rId277" Type="http://schemas.openxmlformats.org/officeDocument/2006/relationships/hyperlink" Target="https://www.dst.dk/websites/extranet/db25/db25.html" TargetMode="External"/><Relationship Id="rId400" Type="http://schemas.openxmlformats.org/officeDocument/2006/relationships/hyperlink" Target="https://www.dst.dk/websites/extranet/db25/db25.html" TargetMode="External"/><Relationship Id="rId442" Type="http://schemas.openxmlformats.org/officeDocument/2006/relationships/hyperlink" Target="https://www.dst.dk/websites/extranet/db25/db25.html" TargetMode="External"/><Relationship Id="rId484" Type="http://schemas.openxmlformats.org/officeDocument/2006/relationships/hyperlink" Target="https://www.dst.dk/websites/extranet/db25/db25.html" TargetMode="External"/><Relationship Id="rId705" Type="http://schemas.openxmlformats.org/officeDocument/2006/relationships/hyperlink" Target="https://www.dst.dk/websites/extranet/db25/db25.html" TargetMode="External"/><Relationship Id="rId137" Type="http://schemas.openxmlformats.org/officeDocument/2006/relationships/hyperlink" Target="https://www.dst.dk/websites/extranet/db25/db25.html" TargetMode="External"/><Relationship Id="rId302" Type="http://schemas.openxmlformats.org/officeDocument/2006/relationships/hyperlink" Target="https://www.dst.dk/websites/extranet/db25/db25.html" TargetMode="External"/><Relationship Id="rId344" Type="http://schemas.openxmlformats.org/officeDocument/2006/relationships/hyperlink" Target="https://www.dst.dk/websites/extranet/db25/db25.html" TargetMode="External"/><Relationship Id="rId691" Type="http://schemas.openxmlformats.org/officeDocument/2006/relationships/hyperlink" Target="https://www.dst.dk/websites/extranet/db25/db25.html" TargetMode="External"/><Relationship Id="rId41" Type="http://schemas.openxmlformats.org/officeDocument/2006/relationships/hyperlink" Target="https://www.dst.dk/websites/extranet/db25/db25.html" TargetMode="External"/><Relationship Id="rId83" Type="http://schemas.openxmlformats.org/officeDocument/2006/relationships/hyperlink" Target="https://www.dst.dk/websites/extranet/db25/db25.html" TargetMode="External"/><Relationship Id="rId179" Type="http://schemas.openxmlformats.org/officeDocument/2006/relationships/hyperlink" Target="https://www.dst.dk/websites/extranet/db25/db25.html" TargetMode="External"/><Relationship Id="rId386" Type="http://schemas.openxmlformats.org/officeDocument/2006/relationships/hyperlink" Target="https://www.dst.dk/websites/extranet/db25/db25.html" TargetMode="External"/><Relationship Id="rId551" Type="http://schemas.openxmlformats.org/officeDocument/2006/relationships/hyperlink" Target="https://www.dst.dk/websites/extranet/db25/db25.html" TargetMode="External"/><Relationship Id="rId593" Type="http://schemas.openxmlformats.org/officeDocument/2006/relationships/hyperlink" Target="https://www.dst.dk/websites/extranet/db25/db25.html" TargetMode="External"/><Relationship Id="rId607" Type="http://schemas.openxmlformats.org/officeDocument/2006/relationships/hyperlink" Target="https://www.dst.dk/websites/extranet/db25/db25.html" TargetMode="External"/><Relationship Id="rId649" Type="http://schemas.openxmlformats.org/officeDocument/2006/relationships/hyperlink" Target="https://www.dst.dk/websites/extranet/db25/db25.html" TargetMode="External"/><Relationship Id="rId190" Type="http://schemas.openxmlformats.org/officeDocument/2006/relationships/hyperlink" Target="https://www.dst.dk/websites/extranet/db25/db25.html" TargetMode="External"/><Relationship Id="rId204" Type="http://schemas.openxmlformats.org/officeDocument/2006/relationships/hyperlink" Target="https://www.dst.dk/websites/extranet/db25/db25.html" TargetMode="External"/><Relationship Id="rId246" Type="http://schemas.openxmlformats.org/officeDocument/2006/relationships/hyperlink" Target="https://www.dst.dk/websites/extranet/db25/db25.html" TargetMode="External"/><Relationship Id="rId288" Type="http://schemas.openxmlformats.org/officeDocument/2006/relationships/hyperlink" Target="https://www.dst.dk/websites/extranet/db25/db25.html" TargetMode="External"/><Relationship Id="rId411" Type="http://schemas.openxmlformats.org/officeDocument/2006/relationships/hyperlink" Target="https://www.dst.dk/websites/extranet/db25/db25.html" TargetMode="External"/><Relationship Id="rId453" Type="http://schemas.openxmlformats.org/officeDocument/2006/relationships/hyperlink" Target="https://www.dst.dk/websites/extranet/db25/db25.html" TargetMode="External"/><Relationship Id="rId509" Type="http://schemas.openxmlformats.org/officeDocument/2006/relationships/hyperlink" Target="https://www.dst.dk/websites/extranet/db25/db25.html" TargetMode="External"/><Relationship Id="rId660" Type="http://schemas.openxmlformats.org/officeDocument/2006/relationships/hyperlink" Target="https://www.dst.dk/websites/extranet/db25/db25.html" TargetMode="External"/><Relationship Id="rId106" Type="http://schemas.openxmlformats.org/officeDocument/2006/relationships/hyperlink" Target="https://www.dst.dk/websites/extranet/db25/db25.html" TargetMode="External"/><Relationship Id="rId313" Type="http://schemas.openxmlformats.org/officeDocument/2006/relationships/hyperlink" Target="https://www.dst.dk/websites/extranet/db25/db25.html" TargetMode="External"/><Relationship Id="rId495" Type="http://schemas.openxmlformats.org/officeDocument/2006/relationships/hyperlink" Target="https://www.dst.dk/websites/extranet/db25/db25.html" TargetMode="External"/><Relationship Id="rId716" Type="http://schemas.openxmlformats.org/officeDocument/2006/relationships/hyperlink" Target="https://www.dst.dk/websites/extranet/db25/db25.html" TargetMode="External"/><Relationship Id="rId10" Type="http://schemas.openxmlformats.org/officeDocument/2006/relationships/hyperlink" Target="https://www.dst.dk/websites/extranet/db25/db25.html" TargetMode="External"/><Relationship Id="rId52" Type="http://schemas.openxmlformats.org/officeDocument/2006/relationships/hyperlink" Target="https://www.dst.dk/websites/extranet/db25/db25.html" TargetMode="External"/><Relationship Id="rId94" Type="http://schemas.openxmlformats.org/officeDocument/2006/relationships/hyperlink" Target="https://www.dst.dk/websites/extranet/db25/db25.html" TargetMode="External"/><Relationship Id="rId148" Type="http://schemas.openxmlformats.org/officeDocument/2006/relationships/hyperlink" Target="https://www.dst.dk/websites/extranet/db25/db25.html" TargetMode="External"/><Relationship Id="rId355" Type="http://schemas.openxmlformats.org/officeDocument/2006/relationships/hyperlink" Target="https://www.dst.dk/websites/extranet/db25/db25.html" TargetMode="External"/><Relationship Id="rId397" Type="http://schemas.openxmlformats.org/officeDocument/2006/relationships/hyperlink" Target="https://www.dst.dk/websites/extranet/db25/db25.html" TargetMode="External"/><Relationship Id="rId520" Type="http://schemas.openxmlformats.org/officeDocument/2006/relationships/hyperlink" Target="https://www.dst.dk/websites/extranet/db25/db25.html" TargetMode="External"/><Relationship Id="rId562" Type="http://schemas.openxmlformats.org/officeDocument/2006/relationships/hyperlink" Target="https://www.dst.dk/websites/extranet/db25/db25.html" TargetMode="External"/><Relationship Id="rId618" Type="http://schemas.openxmlformats.org/officeDocument/2006/relationships/hyperlink" Target="https://www.dst.dk/websites/extranet/db25/db25.html" TargetMode="External"/><Relationship Id="rId215" Type="http://schemas.openxmlformats.org/officeDocument/2006/relationships/hyperlink" Target="https://www.dst.dk/websites/extranet/db25/db25.html" TargetMode="External"/><Relationship Id="rId257" Type="http://schemas.openxmlformats.org/officeDocument/2006/relationships/hyperlink" Target="https://www.dst.dk/websites/extranet/db25/db25.html" TargetMode="External"/><Relationship Id="rId422" Type="http://schemas.openxmlformats.org/officeDocument/2006/relationships/hyperlink" Target="https://www.dst.dk/websites/extranet/db25/db25.html" TargetMode="External"/><Relationship Id="rId464" Type="http://schemas.openxmlformats.org/officeDocument/2006/relationships/hyperlink" Target="https://www.dst.dk/websites/extranet/db25/db25.html" TargetMode="External"/><Relationship Id="rId299" Type="http://schemas.openxmlformats.org/officeDocument/2006/relationships/hyperlink" Target="https://www.dst.dk/websites/extranet/db25/db25.html" TargetMode="External"/><Relationship Id="rId727" Type="http://schemas.openxmlformats.org/officeDocument/2006/relationships/hyperlink" Target="https://www.dst.dk/websites/extranet/db25/db25.html" TargetMode="External"/><Relationship Id="rId63" Type="http://schemas.openxmlformats.org/officeDocument/2006/relationships/hyperlink" Target="https://www.dst.dk/websites/extranet/db25/db25.html" TargetMode="External"/><Relationship Id="rId159" Type="http://schemas.openxmlformats.org/officeDocument/2006/relationships/hyperlink" Target="https://www.dst.dk/websites/extranet/db25/db25.html" TargetMode="External"/><Relationship Id="rId366" Type="http://schemas.openxmlformats.org/officeDocument/2006/relationships/hyperlink" Target="https://www.dst.dk/websites/extranet/db25/db25.html" TargetMode="External"/><Relationship Id="rId573" Type="http://schemas.openxmlformats.org/officeDocument/2006/relationships/hyperlink" Target="https://www.dst.dk/websites/extranet/db25/db25.html" TargetMode="External"/><Relationship Id="rId226" Type="http://schemas.openxmlformats.org/officeDocument/2006/relationships/hyperlink" Target="https://www.dst.dk/websites/extranet/db25/db25.html" TargetMode="External"/><Relationship Id="rId433" Type="http://schemas.openxmlformats.org/officeDocument/2006/relationships/hyperlink" Target="https://www.dst.dk/websites/extranet/db25/db25.html" TargetMode="External"/><Relationship Id="rId640" Type="http://schemas.openxmlformats.org/officeDocument/2006/relationships/hyperlink" Target="https://www.dst.dk/websites/extranet/db25/db25.html" TargetMode="External"/><Relationship Id="rId738" Type="http://schemas.openxmlformats.org/officeDocument/2006/relationships/hyperlink" Target="https://www.dst.dk/websites/extranet/db25/db25.html" TargetMode="External"/><Relationship Id="rId74" Type="http://schemas.openxmlformats.org/officeDocument/2006/relationships/hyperlink" Target="https://www.dst.dk/websites/extranet/db25/db25.html" TargetMode="External"/><Relationship Id="rId377" Type="http://schemas.openxmlformats.org/officeDocument/2006/relationships/hyperlink" Target="https://www.dst.dk/websites/extranet/db25/db25.html" TargetMode="External"/><Relationship Id="rId500" Type="http://schemas.openxmlformats.org/officeDocument/2006/relationships/hyperlink" Target="https://www.dst.dk/websites/extranet/db25/db25.html" TargetMode="External"/><Relationship Id="rId584" Type="http://schemas.openxmlformats.org/officeDocument/2006/relationships/hyperlink" Target="https://www.dst.dk/websites/extranet/db25/db25.html" TargetMode="External"/><Relationship Id="rId5" Type="http://schemas.openxmlformats.org/officeDocument/2006/relationships/hyperlink" Target="https://www.dst.dk/websites/extranet/db25/db25.html" TargetMode="External"/><Relationship Id="rId237" Type="http://schemas.openxmlformats.org/officeDocument/2006/relationships/hyperlink" Target="https://www.dst.dk/websites/extranet/db25/db25.html" TargetMode="External"/><Relationship Id="rId444" Type="http://schemas.openxmlformats.org/officeDocument/2006/relationships/hyperlink" Target="https://www.dst.dk/websites/extranet/db25/db25.html" TargetMode="External"/><Relationship Id="rId651" Type="http://schemas.openxmlformats.org/officeDocument/2006/relationships/hyperlink" Target="https://www.dst.dk/websites/extranet/db25/db25.html" TargetMode="External"/><Relationship Id="rId290" Type="http://schemas.openxmlformats.org/officeDocument/2006/relationships/hyperlink" Target="https://www.dst.dk/websites/extranet/db25/db25.html" TargetMode="External"/><Relationship Id="rId304" Type="http://schemas.openxmlformats.org/officeDocument/2006/relationships/hyperlink" Target="https://www.dst.dk/websites/extranet/db25/db25.html" TargetMode="External"/><Relationship Id="rId388" Type="http://schemas.openxmlformats.org/officeDocument/2006/relationships/hyperlink" Target="https://www.dst.dk/websites/extranet/db25/db25.html" TargetMode="External"/><Relationship Id="rId511" Type="http://schemas.openxmlformats.org/officeDocument/2006/relationships/hyperlink" Target="https://www.dst.dk/websites/extranet/db25/db25.html" TargetMode="External"/><Relationship Id="rId609" Type="http://schemas.openxmlformats.org/officeDocument/2006/relationships/hyperlink" Target="https://www.dst.dk/websites/extranet/db25/db25.html" TargetMode="External"/><Relationship Id="rId85" Type="http://schemas.openxmlformats.org/officeDocument/2006/relationships/hyperlink" Target="https://www.dst.dk/websites/extranet/db25/db25.html" TargetMode="External"/><Relationship Id="rId150" Type="http://schemas.openxmlformats.org/officeDocument/2006/relationships/hyperlink" Target="https://www.dst.dk/websites/extranet/db25/db25.html" TargetMode="External"/><Relationship Id="rId595" Type="http://schemas.openxmlformats.org/officeDocument/2006/relationships/hyperlink" Target="https://www.dst.dk/websites/extranet/db25/db25.html" TargetMode="External"/><Relationship Id="rId248" Type="http://schemas.openxmlformats.org/officeDocument/2006/relationships/hyperlink" Target="https://www.dst.dk/websites/extranet/db25/db25.html" TargetMode="External"/><Relationship Id="rId455" Type="http://schemas.openxmlformats.org/officeDocument/2006/relationships/hyperlink" Target="https://www.dst.dk/websites/extranet/db25/db25.html" TargetMode="External"/><Relationship Id="rId662" Type="http://schemas.openxmlformats.org/officeDocument/2006/relationships/hyperlink" Target="https://www.dst.dk/websites/extranet/db25/db25.html" TargetMode="External"/><Relationship Id="rId12" Type="http://schemas.openxmlformats.org/officeDocument/2006/relationships/hyperlink" Target="https://www.dst.dk/websites/extranet/db25/db25.html" TargetMode="External"/><Relationship Id="rId108" Type="http://schemas.openxmlformats.org/officeDocument/2006/relationships/hyperlink" Target="https://www.dst.dk/websites/extranet/db25/db25.html" TargetMode="External"/><Relationship Id="rId315" Type="http://schemas.openxmlformats.org/officeDocument/2006/relationships/hyperlink" Target="https://www.dst.dk/websites/extranet/db25/db25.html" TargetMode="External"/><Relationship Id="rId522" Type="http://schemas.openxmlformats.org/officeDocument/2006/relationships/hyperlink" Target="https://www.dst.dk/websites/extranet/db25/db25.html" TargetMode="External"/><Relationship Id="rId96" Type="http://schemas.openxmlformats.org/officeDocument/2006/relationships/hyperlink" Target="https://www.dst.dk/websites/extranet/db25/db25.html" TargetMode="External"/><Relationship Id="rId161" Type="http://schemas.openxmlformats.org/officeDocument/2006/relationships/hyperlink" Target="https://www.dst.dk/websites/extranet/db25/db25.html" TargetMode="External"/><Relationship Id="rId399" Type="http://schemas.openxmlformats.org/officeDocument/2006/relationships/hyperlink" Target="https://www.dst.dk/websites/extranet/db25/db25.html" TargetMode="External"/><Relationship Id="rId259" Type="http://schemas.openxmlformats.org/officeDocument/2006/relationships/hyperlink" Target="https://www.dst.dk/websites/extranet/db25/db25.html" TargetMode="External"/><Relationship Id="rId466" Type="http://schemas.openxmlformats.org/officeDocument/2006/relationships/hyperlink" Target="https://www.dst.dk/websites/extranet/db25/db25.html" TargetMode="External"/><Relationship Id="rId673" Type="http://schemas.openxmlformats.org/officeDocument/2006/relationships/hyperlink" Target="https://www.dst.dk/websites/extranet/db25/db25.html" TargetMode="External"/><Relationship Id="rId23" Type="http://schemas.openxmlformats.org/officeDocument/2006/relationships/hyperlink" Target="https://www.dst.dk/websites/extranet/db25/db25.html" TargetMode="External"/><Relationship Id="rId119" Type="http://schemas.openxmlformats.org/officeDocument/2006/relationships/hyperlink" Target="https://www.dst.dk/websites/extranet/db25/db25.html" TargetMode="External"/><Relationship Id="rId326" Type="http://schemas.openxmlformats.org/officeDocument/2006/relationships/hyperlink" Target="https://www.dst.dk/websites/extranet/db25/db25.html" TargetMode="External"/><Relationship Id="rId533" Type="http://schemas.openxmlformats.org/officeDocument/2006/relationships/hyperlink" Target="https://www.dst.dk/websites/extranet/db25/db25.html" TargetMode="External"/><Relationship Id="rId172" Type="http://schemas.openxmlformats.org/officeDocument/2006/relationships/hyperlink" Target="https://www.dst.dk/websites/extranet/db25/db25.html" TargetMode="External"/><Relationship Id="rId477" Type="http://schemas.openxmlformats.org/officeDocument/2006/relationships/hyperlink" Target="https://www.dst.dk/websites/extranet/db25/db25.html" TargetMode="External"/><Relationship Id="rId600" Type="http://schemas.openxmlformats.org/officeDocument/2006/relationships/hyperlink" Target="https://www.dst.dk/websites/extranet/db25/db25.html" TargetMode="External"/><Relationship Id="rId684" Type="http://schemas.openxmlformats.org/officeDocument/2006/relationships/hyperlink" Target="https://www.dst.dk/websites/extranet/db25/db25.html" TargetMode="External"/><Relationship Id="rId337" Type="http://schemas.openxmlformats.org/officeDocument/2006/relationships/hyperlink" Target="https://www.dst.dk/websites/extranet/db25/db25.html" TargetMode="External"/><Relationship Id="rId34" Type="http://schemas.openxmlformats.org/officeDocument/2006/relationships/hyperlink" Target="https://www.dst.dk/websites/extranet/db25/db25.html" TargetMode="External"/><Relationship Id="rId544" Type="http://schemas.openxmlformats.org/officeDocument/2006/relationships/hyperlink" Target="https://www.dst.dk/websites/extranet/db25/db25.html" TargetMode="External"/><Relationship Id="rId183" Type="http://schemas.openxmlformats.org/officeDocument/2006/relationships/hyperlink" Target="https://www.dst.dk/websites/extranet/db25/db25.html" TargetMode="External"/><Relationship Id="rId390" Type="http://schemas.openxmlformats.org/officeDocument/2006/relationships/hyperlink" Target="https://www.dst.dk/websites/extranet/db25/db25.html" TargetMode="External"/><Relationship Id="rId404" Type="http://schemas.openxmlformats.org/officeDocument/2006/relationships/hyperlink" Target="https://www.dst.dk/websites/extranet/db25/db25.html" TargetMode="External"/><Relationship Id="rId611" Type="http://schemas.openxmlformats.org/officeDocument/2006/relationships/hyperlink" Target="https://www.dst.dk/websites/extranet/db25/db25.html" TargetMode="External"/><Relationship Id="rId250" Type="http://schemas.openxmlformats.org/officeDocument/2006/relationships/hyperlink" Target="https://www.dst.dk/websites/extranet/db25/db25.html" TargetMode="External"/><Relationship Id="rId488" Type="http://schemas.openxmlformats.org/officeDocument/2006/relationships/hyperlink" Target="https://www.dst.dk/websites/extranet/db25/db25.html" TargetMode="External"/><Relationship Id="rId695" Type="http://schemas.openxmlformats.org/officeDocument/2006/relationships/hyperlink" Target="https://www.dst.dk/websites/extranet/db25/db25.html" TargetMode="External"/><Relationship Id="rId709" Type="http://schemas.openxmlformats.org/officeDocument/2006/relationships/hyperlink" Target="https://www.dst.dk/websites/extranet/db25/db25.html" TargetMode="External"/><Relationship Id="rId45" Type="http://schemas.openxmlformats.org/officeDocument/2006/relationships/hyperlink" Target="https://www.dst.dk/websites/extranet/db25/db25.html" TargetMode="External"/><Relationship Id="rId110" Type="http://schemas.openxmlformats.org/officeDocument/2006/relationships/hyperlink" Target="https://www.dst.dk/websites/extranet/db25/db25.html" TargetMode="External"/><Relationship Id="rId348" Type="http://schemas.openxmlformats.org/officeDocument/2006/relationships/hyperlink" Target="https://www.dst.dk/websites/extranet/db25/db25.html" TargetMode="External"/><Relationship Id="rId555" Type="http://schemas.openxmlformats.org/officeDocument/2006/relationships/hyperlink" Target="https://www.dst.dk/websites/extranet/db25/db25.html" TargetMode="External"/><Relationship Id="rId194" Type="http://schemas.openxmlformats.org/officeDocument/2006/relationships/hyperlink" Target="https://www.dst.dk/websites/extranet/db25/db25.html" TargetMode="External"/><Relationship Id="rId208" Type="http://schemas.openxmlformats.org/officeDocument/2006/relationships/hyperlink" Target="https://www.dst.dk/websites/extranet/db25/db25.html" TargetMode="External"/><Relationship Id="rId415" Type="http://schemas.openxmlformats.org/officeDocument/2006/relationships/hyperlink" Target="https://www.dst.dk/websites/extranet/db25/db25.html" TargetMode="External"/><Relationship Id="rId622" Type="http://schemas.openxmlformats.org/officeDocument/2006/relationships/hyperlink" Target="https://www.dst.dk/websites/extranet/db25/db25.html" TargetMode="External"/><Relationship Id="rId261" Type="http://schemas.openxmlformats.org/officeDocument/2006/relationships/hyperlink" Target="https://www.dst.dk/websites/extranet/db25/db25.html" TargetMode="External"/><Relationship Id="rId499" Type="http://schemas.openxmlformats.org/officeDocument/2006/relationships/hyperlink" Target="https://www.dst.dk/websites/extranet/db25/db25.html" TargetMode="External"/><Relationship Id="rId56" Type="http://schemas.openxmlformats.org/officeDocument/2006/relationships/hyperlink" Target="https://www.dst.dk/websites/extranet/db25/db25.html" TargetMode="External"/><Relationship Id="rId359" Type="http://schemas.openxmlformats.org/officeDocument/2006/relationships/hyperlink" Target="https://www.dst.dk/websites/extranet/db25/db25.html" TargetMode="External"/><Relationship Id="rId566" Type="http://schemas.openxmlformats.org/officeDocument/2006/relationships/hyperlink" Target="https://www.dst.dk/websites/extranet/db25/db25.html" TargetMode="External"/><Relationship Id="rId121" Type="http://schemas.openxmlformats.org/officeDocument/2006/relationships/hyperlink" Target="https://www.dst.dk/websites/extranet/db25/db25.html" TargetMode="External"/><Relationship Id="rId219" Type="http://schemas.openxmlformats.org/officeDocument/2006/relationships/hyperlink" Target="https://www.dst.dk/websites/extranet/db25/db25.html" TargetMode="External"/><Relationship Id="rId426" Type="http://schemas.openxmlformats.org/officeDocument/2006/relationships/hyperlink" Target="https://www.dst.dk/websites/extranet/db25/db25.html" TargetMode="External"/><Relationship Id="rId633" Type="http://schemas.openxmlformats.org/officeDocument/2006/relationships/hyperlink" Target="https://www.dst.dk/websites/extranet/db25/db25.html" TargetMode="External"/><Relationship Id="rId67" Type="http://schemas.openxmlformats.org/officeDocument/2006/relationships/hyperlink" Target="https://www.dst.dk/websites/extranet/db25/db25.html" TargetMode="External"/><Relationship Id="rId272" Type="http://schemas.openxmlformats.org/officeDocument/2006/relationships/hyperlink" Target="https://www.dst.dk/websites/extranet/db25/db25.html" TargetMode="External"/><Relationship Id="rId577" Type="http://schemas.openxmlformats.org/officeDocument/2006/relationships/hyperlink" Target="https://www.dst.dk/websites/extranet/db25/db25.html" TargetMode="External"/><Relationship Id="rId700" Type="http://schemas.openxmlformats.org/officeDocument/2006/relationships/hyperlink" Target="https://www.dst.dk/websites/extranet/db25/db25.html" TargetMode="External"/><Relationship Id="rId132" Type="http://schemas.openxmlformats.org/officeDocument/2006/relationships/hyperlink" Target="https://www.dst.dk/websites/extranet/db25/db25.html" TargetMode="External"/><Relationship Id="rId437" Type="http://schemas.openxmlformats.org/officeDocument/2006/relationships/hyperlink" Target="https://www.dst.dk/websites/extranet/db25/db25.html" TargetMode="External"/><Relationship Id="rId644" Type="http://schemas.openxmlformats.org/officeDocument/2006/relationships/hyperlink" Target="https://www.dst.dk/websites/extranet/db25/db25.html" TargetMode="External"/><Relationship Id="rId283" Type="http://schemas.openxmlformats.org/officeDocument/2006/relationships/hyperlink" Target="https://www.dst.dk/websites/extranet/db25/db25.html" TargetMode="External"/><Relationship Id="rId490" Type="http://schemas.openxmlformats.org/officeDocument/2006/relationships/hyperlink" Target="https://www.dst.dk/websites/extranet/db25/db25.html" TargetMode="External"/><Relationship Id="rId504" Type="http://schemas.openxmlformats.org/officeDocument/2006/relationships/hyperlink" Target="https://www.dst.dk/websites/extranet/db25/db25.html" TargetMode="External"/><Relationship Id="rId711" Type="http://schemas.openxmlformats.org/officeDocument/2006/relationships/hyperlink" Target="https://www.dst.dk/websites/extranet/db25/db25.html" TargetMode="External"/><Relationship Id="rId78" Type="http://schemas.openxmlformats.org/officeDocument/2006/relationships/hyperlink" Target="https://www.dst.dk/websites/extranet/db25/db25.html" TargetMode="External"/><Relationship Id="rId143" Type="http://schemas.openxmlformats.org/officeDocument/2006/relationships/hyperlink" Target="https://www.dst.dk/websites/extranet/db25/db25.html" TargetMode="External"/><Relationship Id="rId350" Type="http://schemas.openxmlformats.org/officeDocument/2006/relationships/hyperlink" Target="https://www.dst.dk/websites/extranet/db25/db25.html" TargetMode="External"/><Relationship Id="rId588" Type="http://schemas.openxmlformats.org/officeDocument/2006/relationships/hyperlink" Target="https://www.dst.dk/websites/extranet/db25/db25.html" TargetMode="External"/><Relationship Id="rId9" Type="http://schemas.openxmlformats.org/officeDocument/2006/relationships/hyperlink" Target="https://www.dst.dk/websites/extranet/db25/db25.html" TargetMode="External"/><Relationship Id="rId210" Type="http://schemas.openxmlformats.org/officeDocument/2006/relationships/hyperlink" Target="https://www.dst.dk/websites/extranet/db25/db25.html" TargetMode="External"/><Relationship Id="rId448" Type="http://schemas.openxmlformats.org/officeDocument/2006/relationships/hyperlink" Target="https://www.dst.dk/websites/extranet/db25/db25.html" TargetMode="External"/><Relationship Id="rId655" Type="http://schemas.openxmlformats.org/officeDocument/2006/relationships/hyperlink" Target="https://www.dst.dk/websites/extranet/db25/db25.html" TargetMode="External"/><Relationship Id="rId294" Type="http://schemas.openxmlformats.org/officeDocument/2006/relationships/hyperlink" Target="https://www.dst.dk/websites/extranet/db25/db25.html" TargetMode="External"/><Relationship Id="rId308" Type="http://schemas.openxmlformats.org/officeDocument/2006/relationships/hyperlink" Target="https://www.dst.dk/websites/extranet/db25/db25.html" TargetMode="External"/><Relationship Id="rId515" Type="http://schemas.openxmlformats.org/officeDocument/2006/relationships/hyperlink" Target="https://www.dst.dk/websites/extranet/db25/db25.html" TargetMode="External"/><Relationship Id="rId722" Type="http://schemas.openxmlformats.org/officeDocument/2006/relationships/hyperlink" Target="https://www.dst.dk/websites/extranet/db25/db25.html" TargetMode="External"/><Relationship Id="rId89" Type="http://schemas.openxmlformats.org/officeDocument/2006/relationships/hyperlink" Target="https://www.dst.dk/websites/extranet/db25/db25.html" TargetMode="External"/><Relationship Id="rId154" Type="http://schemas.openxmlformats.org/officeDocument/2006/relationships/hyperlink" Target="https://www.dst.dk/websites/extranet/db25/db25.html" TargetMode="External"/><Relationship Id="rId361" Type="http://schemas.openxmlformats.org/officeDocument/2006/relationships/hyperlink" Target="https://www.dst.dk/websites/extranet/db25/db25.html" TargetMode="External"/><Relationship Id="rId599" Type="http://schemas.openxmlformats.org/officeDocument/2006/relationships/hyperlink" Target="https://www.dst.dk/websites/extranet/db25/db25.html" TargetMode="External"/><Relationship Id="rId459" Type="http://schemas.openxmlformats.org/officeDocument/2006/relationships/hyperlink" Target="https://www.dst.dk/websites/extranet/db25/db25.html" TargetMode="External"/><Relationship Id="rId666" Type="http://schemas.openxmlformats.org/officeDocument/2006/relationships/hyperlink" Target="https://www.dst.dk/websites/extranet/db25/db25.html" TargetMode="External"/><Relationship Id="rId16" Type="http://schemas.openxmlformats.org/officeDocument/2006/relationships/hyperlink" Target="https://www.dst.dk/websites/extranet/db25/db25.html" TargetMode="External"/><Relationship Id="rId221" Type="http://schemas.openxmlformats.org/officeDocument/2006/relationships/hyperlink" Target="https://www.dst.dk/websites/extranet/db25/db25.html" TargetMode="External"/><Relationship Id="rId319" Type="http://schemas.openxmlformats.org/officeDocument/2006/relationships/hyperlink" Target="https://www.dst.dk/websites/extranet/db25/db25.html" TargetMode="External"/><Relationship Id="rId526" Type="http://schemas.openxmlformats.org/officeDocument/2006/relationships/hyperlink" Target="https://www.dst.dk/websites/extranet/db25/db25.html" TargetMode="External"/><Relationship Id="rId733" Type="http://schemas.openxmlformats.org/officeDocument/2006/relationships/hyperlink" Target="https://www.dst.dk/websites/extranet/db25/db25.html" TargetMode="External"/><Relationship Id="rId165" Type="http://schemas.openxmlformats.org/officeDocument/2006/relationships/hyperlink" Target="https://www.dst.dk/websites/extranet/db25/db25.html" TargetMode="External"/><Relationship Id="rId372" Type="http://schemas.openxmlformats.org/officeDocument/2006/relationships/hyperlink" Target="https://www.dst.dk/websites/extranet/db25/db25.html" TargetMode="External"/><Relationship Id="rId677" Type="http://schemas.openxmlformats.org/officeDocument/2006/relationships/hyperlink" Target="https://www.dst.dk/websites/extranet/db25/db25.html" TargetMode="External"/><Relationship Id="rId232" Type="http://schemas.openxmlformats.org/officeDocument/2006/relationships/hyperlink" Target="https://www.dst.dk/websites/extranet/db25/db25.html" TargetMode="External"/><Relationship Id="rId27" Type="http://schemas.openxmlformats.org/officeDocument/2006/relationships/hyperlink" Target="https://www.dst.dk/websites/extranet/db25/db25.html" TargetMode="External"/><Relationship Id="rId537" Type="http://schemas.openxmlformats.org/officeDocument/2006/relationships/hyperlink" Target="https://www.dst.dk/websites/extranet/db25/db25.html" TargetMode="External"/><Relationship Id="rId80" Type="http://schemas.openxmlformats.org/officeDocument/2006/relationships/hyperlink" Target="https://www.dst.dk/websites/extranet/db25/db25.html" TargetMode="External"/><Relationship Id="rId176" Type="http://schemas.openxmlformats.org/officeDocument/2006/relationships/hyperlink" Target="https://www.dst.dk/websites/extranet/db25/db25.html" TargetMode="External"/><Relationship Id="rId383" Type="http://schemas.openxmlformats.org/officeDocument/2006/relationships/hyperlink" Target="https://www.dst.dk/websites/extranet/db25/db25.html" TargetMode="External"/><Relationship Id="rId590" Type="http://schemas.openxmlformats.org/officeDocument/2006/relationships/hyperlink" Target="https://www.dst.dk/websites/extranet/db25/db25.html" TargetMode="External"/><Relationship Id="rId604" Type="http://schemas.openxmlformats.org/officeDocument/2006/relationships/hyperlink" Target="https://www.dst.dk/websites/extranet/db25/db25.html" TargetMode="External"/><Relationship Id="rId243" Type="http://schemas.openxmlformats.org/officeDocument/2006/relationships/hyperlink" Target="https://www.dst.dk/websites/extranet/db25/db25.html" TargetMode="External"/><Relationship Id="rId450" Type="http://schemas.openxmlformats.org/officeDocument/2006/relationships/hyperlink" Target="https://www.dst.dk/websites/extranet/db25/db25.html" TargetMode="External"/><Relationship Id="rId688" Type="http://schemas.openxmlformats.org/officeDocument/2006/relationships/hyperlink" Target="https://www.dst.dk/websites/extranet/db25/db25.html" TargetMode="External"/><Relationship Id="rId38" Type="http://schemas.openxmlformats.org/officeDocument/2006/relationships/hyperlink" Target="https://www.dst.dk/websites/extranet/db25/db25.html" TargetMode="External"/><Relationship Id="rId103" Type="http://schemas.openxmlformats.org/officeDocument/2006/relationships/hyperlink" Target="https://www.dst.dk/websites/extranet/db25/db25.html" TargetMode="External"/><Relationship Id="rId310" Type="http://schemas.openxmlformats.org/officeDocument/2006/relationships/hyperlink" Target="https://www.dst.dk/websites/extranet/db25/db25.html" TargetMode="External"/><Relationship Id="rId548" Type="http://schemas.openxmlformats.org/officeDocument/2006/relationships/hyperlink" Target="https://www.dst.dk/websites/extranet/db25/db25.html" TargetMode="External"/><Relationship Id="rId91" Type="http://schemas.openxmlformats.org/officeDocument/2006/relationships/hyperlink" Target="https://www.dst.dk/websites/extranet/db25/db25.html" TargetMode="External"/><Relationship Id="rId187" Type="http://schemas.openxmlformats.org/officeDocument/2006/relationships/hyperlink" Target="https://www.dst.dk/websites/extranet/db25/db25.html" TargetMode="External"/><Relationship Id="rId394" Type="http://schemas.openxmlformats.org/officeDocument/2006/relationships/hyperlink" Target="https://www.dst.dk/websites/extranet/db25/db25.html" TargetMode="External"/><Relationship Id="rId408" Type="http://schemas.openxmlformats.org/officeDocument/2006/relationships/hyperlink" Target="https://www.dst.dk/websites/extranet/db25/db25.html" TargetMode="External"/><Relationship Id="rId615" Type="http://schemas.openxmlformats.org/officeDocument/2006/relationships/hyperlink" Target="https://www.dst.dk/websites/extranet/db25/db25.html" TargetMode="External"/><Relationship Id="rId254" Type="http://schemas.openxmlformats.org/officeDocument/2006/relationships/hyperlink" Target="https://www.dst.dk/websites/extranet/db25/db25.html" TargetMode="External"/><Relationship Id="rId699" Type="http://schemas.openxmlformats.org/officeDocument/2006/relationships/hyperlink" Target="https://www.dst.dk/websites/extranet/db25/db25.html" TargetMode="External"/><Relationship Id="rId49" Type="http://schemas.openxmlformats.org/officeDocument/2006/relationships/hyperlink" Target="https://www.dst.dk/websites/extranet/db25/db25.html" TargetMode="External"/><Relationship Id="rId114" Type="http://schemas.openxmlformats.org/officeDocument/2006/relationships/hyperlink" Target="https://www.dst.dk/websites/extranet/db25/db25.html" TargetMode="External"/><Relationship Id="rId461" Type="http://schemas.openxmlformats.org/officeDocument/2006/relationships/hyperlink" Target="https://www.dst.dk/websites/extranet/db25/db25.html" TargetMode="External"/><Relationship Id="rId559" Type="http://schemas.openxmlformats.org/officeDocument/2006/relationships/hyperlink" Target="https://www.dst.dk/websites/extranet/db25/db25.html" TargetMode="External"/><Relationship Id="rId198" Type="http://schemas.openxmlformats.org/officeDocument/2006/relationships/hyperlink" Target="https://www.dst.dk/websites/extranet/db25/db25.html" TargetMode="External"/><Relationship Id="rId321" Type="http://schemas.openxmlformats.org/officeDocument/2006/relationships/hyperlink" Target="https://www.dst.dk/websites/extranet/db25/db25.html" TargetMode="External"/><Relationship Id="rId419" Type="http://schemas.openxmlformats.org/officeDocument/2006/relationships/hyperlink" Target="https://www.dst.dk/websites/extranet/db25/db25.html" TargetMode="External"/><Relationship Id="rId626" Type="http://schemas.openxmlformats.org/officeDocument/2006/relationships/hyperlink" Target="https://www.dst.dk/websites/extranet/db25/db25.html" TargetMode="External"/><Relationship Id="rId265" Type="http://schemas.openxmlformats.org/officeDocument/2006/relationships/hyperlink" Target="https://www.dst.dk/websites/extranet/db25/db25.html" TargetMode="External"/><Relationship Id="rId472" Type="http://schemas.openxmlformats.org/officeDocument/2006/relationships/hyperlink" Target="https://www.dst.dk/websites/extranet/db25/db25.html" TargetMode="External"/><Relationship Id="rId125" Type="http://schemas.openxmlformats.org/officeDocument/2006/relationships/hyperlink" Target="https://www.dst.dk/websites/extranet/db25/db25.html" TargetMode="External"/><Relationship Id="rId332" Type="http://schemas.openxmlformats.org/officeDocument/2006/relationships/hyperlink" Target="https://www.dst.dk/websites/extranet/db25/db25.html" TargetMode="External"/><Relationship Id="rId637" Type="http://schemas.openxmlformats.org/officeDocument/2006/relationships/hyperlink" Target="https://www.dst.dk/websites/extranet/db25/db25.html" TargetMode="External"/><Relationship Id="rId276" Type="http://schemas.openxmlformats.org/officeDocument/2006/relationships/hyperlink" Target="https://www.dst.dk/websites/extranet/db25/db25.html" TargetMode="External"/><Relationship Id="rId483" Type="http://schemas.openxmlformats.org/officeDocument/2006/relationships/hyperlink" Target="https://www.dst.dk/websites/extranet/db25/db25.html" TargetMode="External"/><Relationship Id="rId690" Type="http://schemas.openxmlformats.org/officeDocument/2006/relationships/hyperlink" Target="https://www.dst.dk/websites/extranet/db25/db25.html" TargetMode="External"/><Relationship Id="rId704" Type="http://schemas.openxmlformats.org/officeDocument/2006/relationships/hyperlink" Target="https://www.dst.dk/websites/extranet/db25/db25.html" TargetMode="External"/><Relationship Id="rId40" Type="http://schemas.openxmlformats.org/officeDocument/2006/relationships/hyperlink" Target="https://www.dst.dk/websites/extranet/db25/db25.html" TargetMode="External"/><Relationship Id="rId136" Type="http://schemas.openxmlformats.org/officeDocument/2006/relationships/hyperlink" Target="https://www.dst.dk/websites/extranet/db25/db25.html" TargetMode="External"/><Relationship Id="rId343" Type="http://schemas.openxmlformats.org/officeDocument/2006/relationships/hyperlink" Target="https://www.dst.dk/websites/extranet/db25/db25.html" TargetMode="External"/><Relationship Id="rId550" Type="http://schemas.openxmlformats.org/officeDocument/2006/relationships/hyperlink" Target="https://www.dst.dk/websites/extranet/db25/db25.html" TargetMode="External"/><Relationship Id="rId203" Type="http://schemas.openxmlformats.org/officeDocument/2006/relationships/hyperlink" Target="https://www.dst.dk/websites/extranet/db25/db25.html" TargetMode="External"/><Relationship Id="rId648" Type="http://schemas.openxmlformats.org/officeDocument/2006/relationships/hyperlink" Target="https://www.dst.dk/websites/extranet/db25/db25.html" TargetMode="External"/><Relationship Id="rId287" Type="http://schemas.openxmlformats.org/officeDocument/2006/relationships/hyperlink" Target="https://www.dst.dk/websites/extranet/db25/db25.html" TargetMode="External"/><Relationship Id="rId410" Type="http://schemas.openxmlformats.org/officeDocument/2006/relationships/hyperlink" Target="https://www.dst.dk/websites/extranet/db25/db25.html" TargetMode="External"/><Relationship Id="rId494" Type="http://schemas.openxmlformats.org/officeDocument/2006/relationships/hyperlink" Target="https://www.dst.dk/websites/extranet/db25/db25.html" TargetMode="External"/><Relationship Id="rId508" Type="http://schemas.openxmlformats.org/officeDocument/2006/relationships/hyperlink" Target="https://www.dst.dk/websites/extranet/db25/db25.html" TargetMode="External"/><Relationship Id="rId715" Type="http://schemas.openxmlformats.org/officeDocument/2006/relationships/hyperlink" Target="https://www.dst.dk/websites/extranet/db25/db25.html" TargetMode="External"/><Relationship Id="rId147" Type="http://schemas.openxmlformats.org/officeDocument/2006/relationships/hyperlink" Target="https://www.dst.dk/websites/extranet/db25/db25.html" TargetMode="External"/><Relationship Id="rId354" Type="http://schemas.openxmlformats.org/officeDocument/2006/relationships/hyperlink" Target="https://www.dst.dk/websites/extranet/db25/db25.html" TargetMode="External"/><Relationship Id="rId51" Type="http://schemas.openxmlformats.org/officeDocument/2006/relationships/hyperlink" Target="https://www.dst.dk/websites/extranet/db25/db25.html" TargetMode="External"/><Relationship Id="rId561" Type="http://schemas.openxmlformats.org/officeDocument/2006/relationships/hyperlink" Target="https://www.dst.dk/websites/extranet/db25/db25.html" TargetMode="External"/><Relationship Id="rId659" Type="http://schemas.openxmlformats.org/officeDocument/2006/relationships/hyperlink" Target="https://www.dst.dk/websites/extranet/db25/db2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6242-B724-4C2F-B03B-82D4379E6BC9}">
  <sheetPr codeName="Ark1"/>
  <dimension ref="A1:D19"/>
  <sheetViews>
    <sheetView workbookViewId="0">
      <selection activeCell="O10" sqref="O10"/>
    </sheetView>
  </sheetViews>
  <sheetFormatPr defaultColWidth="9.140625" defaultRowHeight="15" customHeight="1" x14ac:dyDescent="0.25"/>
  <cols>
    <col min="1" max="1" width="40.42578125" style="90" customWidth="1"/>
    <col min="2" max="2" width="19.85546875" style="90" customWidth="1"/>
    <col min="3" max="3" width="23.42578125" style="90" customWidth="1"/>
    <col min="4" max="4" width="22.28515625" style="90" customWidth="1"/>
    <col min="5" max="16384" width="9.140625" style="90"/>
  </cols>
  <sheetData>
    <row r="1" spans="1:4" ht="15" customHeight="1" thickBot="1" x14ac:dyDescent="0.3">
      <c r="A1" s="190" t="s">
        <v>146</v>
      </c>
      <c r="B1" s="185" t="s">
        <v>145</v>
      </c>
      <c r="C1" s="183" t="s">
        <v>147</v>
      </c>
      <c r="D1" s="184" t="s">
        <v>148</v>
      </c>
    </row>
    <row r="2" spans="1:4" ht="15" customHeight="1" x14ac:dyDescent="0.25">
      <c r="A2" s="191" t="s">
        <v>3</v>
      </c>
      <c r="B2" s="186" t="str">
        <f>Matrix!A2</f>
        <v>E1</v>
      </c>
      <c r="C2" s="181">
        <f>ROUNDDOWN(AVERAGE(DVA!B2:C2),0)</f>
        <v>1</v>
      </c>
      <c r="D2" s="182">
        <f>Matrix!G2</f>
        <v>100</v>
      </c>
    </row>
    <row r="3" spans="1:4" ht="15" customHeight="1" x14ac:dyDescent="0.25">
      <c r="A3" s="192" t="s">
        <v>4</v>
      </c>
      <c r="B3" s="187" t="str">
        <f>Matrix!A26</f>
        <v>E2</v>
      </c>
      <c r="C3" s="175">
        <f>ROUNDDOWN(AVERAGE(DVA!B3:C3),0)</f>
        <v>0</v>
      </c>
      <c r="D3" s="176">
        <f>Matrix!G26</f>
        <v>100</v>
      </c>
    </row>
    <row r="4" spans="1:4" ht="15" customHeight="1" x14ac:dyDescent="0.25">
      <c r="A4" s="192" t="s">
        <v>8</v>
      </c>
      <c r="B4" s="187" t="str">
        <f>Matrix!A51</f>
        <v>E3</v>
      </c>
      <c r="C4" s="175">
        <f>ROUNDDOWN(AVERAGE(DVA!B4:C4),0)</f>
        <v>1</v>
      </c>
      <c r="D4" s="176">
        <f>Matrix!G51</f>
        <v>100</v>
      </c>
    </row>
    <row r="5" spans="1:4" ht="15" customHeight="1" x14ac:dyDescent="0.25">
      <c r="A5" s="192" t="s">
        <v>7</v>
      </c>
      <c r="B5" s="187" t="str">
        <f>Matrix!A57</f>
        <v>E4</v>
      </c>
      <c r="C5" s="175">
        <f>ROUNDDOWN(AVERAGE(DVA!B5:C5),0)</f>
        <v>2</v>
      </c>
      <c r="D5" s="176">
        <f>Matrix!G57</f>
        <v>0</v>
      </c>
    </row>
    <row r="6" spans="1:4" ht="15" customHeight="1" x14ac:dyDescent="0.25">
      <c r="A6" s="192" t="s">
        <v>10</v>
      </c>
      <c r="B6" s="187" t="str">
        <f>Matrix!A70</f>
        <v>E5</v>
      </c>
      <c r="C6" s="175">
        <f>ROUNDDOWN(AVERAGE(DVA!B6:C6),0)</f>
        <v>4</v>
      </c>
      <c r="D6" s="176">
        <f>Matrix!G70</f>
        <v>0</v>
      </c>
    </row>
    <row r="7" spans="1:4" ht="15" customHeight="1" x14ac:dyDescent="0.25">
      <c r="A7" s="193" t="s">
        <v>15</v>
      </c>
      <c r="B7" s="188" t="str">
        <f>Matrix!A81</f>
        <v>S1</v>
      </c>
      <c r="C7" s="177">
        <f>ROUNDDOWN(AVERAGE(DVA!B7:C7),0)</f>
        <v>3</v>
      </c>
      <c r="D7" s="178">
        <f>Matrix!G81</f>
        <v>65</v>
      </c>
    </row>
    <row r="8" spans="1:4" ht="15" customHeight="1" x14ac:dyDescent="0.25">
      <c r="A8" s="193" t="s">
        <v>16</v>
      </c>
      <c r="B8" s="188" t="str">
        <f>Matrix!A109</f>
        <v>S2</v>
      </c>
      <c r="C8" s="177">
        <f>ROUNDDOWN(AVERAGE(DVA!B8:C8),0)</f>
        <v>3</v>
      </c>
      <c r="D8" s="178">
        <f>Matrix!G109</f>
        <v>45</v>
      </c>
    </row>
    <row r="9" spans="1:4" ht="15" customHeight="1" x14ac:dyDescent="0.25">
      <c r="A9" s="193" t="s">
        <v>18</v>
      </c>
      <c r="B9" s="188" t="str">
        <f>Matrix!A124</f>
        <v>S3</v>
      </c>
      <c r="C9" s="177">
        <f>ROUNDDOWN(AVERAGE(DVA!B9:C9),0)</f>
        <v>3</v>
      </c>
      <c r="D9" s="178">
        <f>Matrix!G124</f>
        <v>100</v>
      </c>
    </row>
    <row r="10" spans="1:4" ht="15" customHeight="1" x14ac:dyDescent="0.25">
      <c r="A10" s="193" t="s">
        <v>20</v>
      </c>
      <c r="B10" s="188" t="str">
        <f>Matrix!A133</f>
        <v>S4</v>
      </c>
      <c r="C10" s="177">
        <f>ROUNDDOWN(AVERAGE(DVA!B10:C10),0)</f>
        <v>4</v>
      </c>
      <c r="D10" s="178">
        <f>Matrix!G133</f>
        <v>70</v>
      </c>
    </row>
    <row r="11" spans="1:4" ht="15" customHeight="1" thickBot="1" x14ac:dyDescent="0.3">
      <c r="A11" s="194" t="s">
        <v>256</v>
      </c>
      <c r="B11" s="189" t="str">
        <f>Matrix!A142</f>
        <v>G1</v>
      </c>
      <c r="C11" s="179">
        <f>ROUNDDOWN(AVERAGE(DVA!B11:C11),0)</f>
        <v>2</v>
      </c>
      <c r="D11" s="180">
        <f>Matrix!G142</f>
        <v>70</v>
      </c>
    </row>
    <row r="12" spans="1:4" ht="15" customHeight="1" thickBot="1" x14ac:dyDescent="0.3">
      <c r="A12" s="195" t="s">
        <v>43</v>
      </c>
      <c r="B12" s="237">
        <f>SUM(Matrix!I2,Matrix!I26,Matrix!I51,Matrix!I57,Matrix!I70,Matrix!I81,Matrix!I109,Matrix!I124,Matrix!I133,Matrix!I142)</f>
        <v>52</v>
      </c>
      <c r="C12" s="237"/>
      <c r="D12" s="238"/>
    </row>
    <row r="13" spans="1:4" ht="15" customHeight="1" thickBot="1" x14ac:dyDescent="0.3"/>
    <row r="14" spans="1:4" ht="15" customHeight="1" x14ac:dyDescent="0.25">
      <c r="A14" s="229" t="s">
        <v>585</v>
      </c>
      <c r="B14" s="247" t="s">
        <v>3057</v>
      </c>
      <c r="C14" s="248"/>
      <c r="D14" s="249"/>
    </row>
    <row r="15" spans="1:4" ht="15" customHeight="1" x14ac:dyDescent="0.25">
      <c r="A15" s="230" t="s">
        <v>586</v>
      </c>
      <c r="B15" s="244" t="s">
        <v>3058</v>
      </c>
      <c r="C15" s="245"/>
      <c r="D15" s="246"/>
    </row>
    <row r="16" spans="1:4" ht="15" customHeight="1" x14ac:dyDescent="0.25">
      <c r="A16" s="230" t="s">
        <v>587</v>
      </c>
      <c r="B16" s="244" t="s">
        <v>3059</v>
      </c>
      <c r="C16" s="245"/>
      <c r="D16" s="246"/>
    </row>
    <row r="17" spans="1:4" ht="15" customHeight="1" x14ac:dyDescent="0.25">
      <c r="A17" s="230" t="s">
        <v>588</v>
      </c>
      <c r="B17" s="244">
        <v>23</v>
      </c>
      <c r="C17" s="245"/>
      <c r="D17" s="246"/>
    </row>
    <row r="18" spans="1:4" ht="15" customHeight="1" x14ac:dyDescent="0.25">
      <c r="A18" s="230" t="s">
        <v>589</v>
      </c>
      <c r="B18" s="241">
        <v>10000000</v>
      </c>
      <c r="C18" s="242"/>
      <c r="D18" s="243"/>
    </row>
    <row r="19" spans="1:4" ht="30" customHeight="1" thickBot="1" x14ac:dyDescent="0.3">
      <c r="A19" s="231" t="s">
        <v>590</v>
      </c>
      <c r="B19" s="239" t="s">
        <v>3056</v>
      </c>
      <c r="C19" s="239"/>
      <c r="D19" s="240"/>
    </row>
  </sheetData>
  <mergeCells count="7">
    <mergeCell ref="B12:D12"/>
    <mergeCell ref="B19:D19"/>
    <mergeCell ref="B18:D18"/>
    <mergeCell ref="B17:D17"/>
    <mergeCell ref="B16:D16"/>
    <mergeCell ref="B15:D15"/>
    <mergeCell ref="B14:D14"/>
  </mergeCells>
  <conditionalFormatting sqref="B12">
    <cfRule type="cellIs" dxfId="7" priority="1" operator="between">
      <formula>75</formula>
      <formula>100</formula>
    </cfRule>
    <cfRule type="cellIs" dxfId="6" priority="2" operator="between">
      <formula>65</formula>
      <formula>75</formula>
    </cfRule>
    <cfRule type="cellIs" dxfId="5" priority="3" operator="between">
      <formula>55</formula>
      <formula>65</formula>
    </cfRule>
    <cfRule type="cellIs" dxfId="4" priority="4" operator="between">
      <formula>45</formula>
      <formula>55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0DCEF6E-DE23-4AA5-A765-99666E0BEE6D}">
          <x14:formula1>
            <xm:f>Branchekoder!$A:$A</xm:f>
          </x14:formula1>
          <xm:sqref>B19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0B46-174A-4BF9-98AC-5759C8E081AF}">
  <sheetPr>
    <outlinePr summaryBelow="0"/>
  </sheetPr>
  <dimension ref="A1:F111"/>
  <sheetViews>
    <sheetView zoomScaleNormal="100" workbookViewId="0">
      <selection activeCell="E3" sqref="E3:E12"/>
    </sheetView>
  </sheetViews>
  <sheetFormatPr defaultColWidth="9.140625" defaultRowHeight="15" outlineLevelRow="1" x14ac:dyDescent="0.25"/>
  <cols>
    <col min="1" max="1" width="9.140625" style="161"/>
    <col min="2" max="2" width="83" style="162" customWidth="1"/>
    <col min="3" max="4" width="9.140625" style="90"/>
    <col min="5" max="5" width="80.7109375" style="162" customWidth="1"/>
    <col min="6" max="6" width="40.7109375" style="90" customWidth="1"/>
    <col min="7" max="16384" width="9.140625" style="90"/>
  </cols>
  <sheetData>
    <row r="1" spans="1:6" ht="15.75" thickBot="1" x14ac:dyDescent="0.3">
      <c r="A1" s="126"/>
      <c r="B1" s="127" t="s">
        <v>258</v>
      </c>
      <c r="C1" s="81" t="s">
        <v>251</v>
      </c>
      <c r="D1" s="81" t="s">
        <v>252</v>
      </c>
      <c r="E1" s="128" t="s">
        <v>257</v>
      </c>
      <c r="F1" s="128" t="s">
        <v>278</v>
      </c>
    </row>
    <row r="2" spans="1:6" ht="15" customHeight="1" thickBot="1" x14ac:dyDescent="0.3">
      <c r="A2" s="95" t="s">
        <v>0</v>
      </c>
      <c r="B2" s="97" t="s">
        <v>3</v>
      </c>
      <c r="C2" s="99"/>
      <c r="D2" s="100"/>
      <c r="E2" s="88"/>
      <c r="F2" s="88"/>
    </row>
    <row r="3" spans="1:6" s="163" customFormat="1" ht="45" customHeight="1" outlineLevel="1" x14ac:dyDescent="0.25">
      <c r="A3" s="254" t="s">
        <v>253</v>
      </c>
      <c r="B3" s="82" t="s">
        <v>546</v>
      </c>
      <c r="C3" s="104" t="b">
        <v>1</v>
      </c>
      <c r="D3" s="115" t="b">
        <v>0</v>
      </c>
      <c r="E3" s="85" t="s">
        <v>547</v>
      </c>
      <c r="F3" s="85" t="s">
        <v>548</v>
      </c>
    </row>
    <row r="4" spans="1:6" s="163" customFormat="1" ht="45" customHeight="1" outlineLevel="1" x14ac:dyDescent="0.25">
      <c r="A4" s="255"/>
      <c r="B4" s="83" t="s">
        <v>549</v>
      </c>
      <c r="C4" s="105" t="b">
        <v>1</v>
      </c>
      <c r="D4" s="116" t="b">
        <v>0</v>
      </c>
      <c r="E4" s="86" t="s">
        <v>550</v>
      </c>
      <c r="F4" s="86" t="s">
        <v>551</v>
      </c>
    </row>
    <row r="5" spans="1:6" s="163" customFormat="1" ht="45" customHeight="1" outlineLevel="1" x14ac:dyDescent="0.25">
      <c r="A5" s="255"/>
      <c r="B5" s="83" t="s">
        <v>552</v>
      </c>
      <c r="C5" s="105" t="b">
        <v>0</v>
      </c>
      <c r="D5" s="116" t="b">
        <v>1</v>
      </c>
      <c r="E5" s="86" t="s">
        <v>553</v>
      </c>
      <c r="F5" s="86" t="s">
        <v>554</v>
      </c>
    </row>
    <row r="6" spans="1:6" s="163" customFormat="1" ht="45" customHeight="1" outlineLevel="1" x14ac:dyDescent="0.25">
      <c r="A6" s="255"/>
      <c r="B6" s="83" t="s">
        <v>563</v>
      </c>
      <c r="C6" s="105" t="b">
        <v>0</v>
      </c>
      <c r="D6" s="116" t="b">
        <v>0</v>
      </c>
      <c r="E6" s="86" t="s">
        <v>564</v>
      </c>
      <c r="F6" s="86" t="s">
        <v>565</v>
      </c>
    </row>
    <row r="7" spans="1:6" s="163" customFormat="1" ht="45" customHeight="1" outlineLevel="1" thickBot="1" x14ac:dyDescent="0.3">
      <c r="A7" s="256"/>
      <c r="B7" s="84" t="s">
        <v>573</v>
      </c>
      <c r="C7" s="106" t="b">
        <v>0</v>
      </c>
      <c r="D7" s="117" t="b">
        <v>1</v>
      </c>
      <c r="E7" s="87" t="s">
        <v>571</v>
      </c>
      <c r="F7" s="87" t="s">
        <v>572</v>
      </c>
    </row>
    <row r="8" spans="1:6" s="163" customFormat="1" ht="45" customHeight="1" outlineLevel="1" x14ac:dyDescent="0.25">
      <c r="A8" s="254" t="s">
        <v>254</v>
      </c>
      <c r="B8" s="82" t="s">
        <v>574</v>
      </c>
      <c r="C8" s="104" t="b">
        <v>1</v>
      </c>
      <c r="D8" s="115" t="b">
        <v>0</v>
      </c>
      <c r="E8" s="85" t="s">
        <v>555</v>
      </c>
      <c r="F8" s="85" t="s">
        <v>556</v>
      </c>
    </row>
    <row r="9" spans="1:6" s="163" customFormat="1" ht="45" customHeight="1" outlineLevel="1" x14ac:dyDescent="0.25">
      <c r="A9" s="255"/>
      <c r="B9" s="83" t="s">
        <v>557</v>
      </c>
      <c r="C9" s="105" t="b">
        <v>0</v>
      </c>
      <c r="D9" s="116" t="b">
        <v>0</v>
      </c>
      <c r="E9" s="86" t="s">
        <v>558</v>
      </c>
      <c r="F9" s="86" t="s">
        <v>559</v>
      </c>
    </row>
    <row r="10" spans="1:6" s="163" customFormat="1" ht="45" customHeight="1" outlineLevel="1" x14ac:dyDescent="0.25">
      <c r="A10" s="255"/>
      <c r="B10" s="83" t="s">
        <v>575</v>
      </c>
      <c r="C10" s="105" t="b">
        <v>0</v>
      </c>
      <c r="D10" s="116" t="b">
        <v>1</v>
      </c>
      <c r="E10" s="86" t="s">
        <v>566</v>
      </c>
      <c r="F10" s="86" t="s">
        <v>567</v>
      </c>
    </row>
    <row r="11" spans="1:6" s="163" customFormat="1" ht="45" customHeight="1" outlineLevel="1" x14ac:dyDescent="0.25">
      <c r="A11" s="255"/>
      <c r="B11" s="83" t="s">
        <v>568</v>
      </c>
      <c r="C11" s="105" t="b">
        <v>0</v>
      </c>
      <c r="D11" s="116" t="b">
        <v>0</v>
      </c>
      <c r="E11" s="86" t="s">
        <v>569</v>
      </c>
      <c r="F11" s="86" t="s">
        <v>570</v>
      </c>
    </row>
    <row r="12" spans="1:6" s="163" customFormat="1" ht="45" customHeight="1" outlineLevel="1" thickBot="1" x14ac:dyDescent="0.3">
      <c r="A12" s="256"/>
      <c r="B12" s="84" t="s">
        <v>560</v>
      </c>
      <c r="C12" s="106" t="b">
        <v>0</v>
      </c>
      <c r="D12" s="117" t="b">
        <v>0</v>
      </c>
      <c r="E12" s="87" t="s">
        <v>561</v>
      </c>
      <c r="F12" s="87" t="s">
        <v>562</v>
      </c>
    </row>
    <row r="13" spans="1:6" s="163" customFormat="1" ht="15" customHeight="1" collapsed="1" thickBot="1" x14ac:dyDescent="0.3">
      <c r="A13" s="96" t="s">
        <v>1</v>
      </c>
      <c r="B13" s="97" t="s">
        <v>4</v>
      </c>
      <c r="C13" s="107"/>
      <c r="D13" s="118"/>
      <c r="E13" s="88"/>
      <c r="F13" s="88"/>
    </row>
    <row r="14" spans="1:6" s="163" customFormat="1" ht="45" hidden="1" customHeight="1" outlineLevel="1" x14ac:dyDescent="0.25">
      <c r="A14" s="254" t="s">
        <v>253</v>
      </c>
      <c r="B14" s="82" t="s">
        <v>306</v>
      </c>
      <c r="C14" s="104" t="b">
        <v>0</v>
      </c>
      <c r="D14" s="115" t="b">
        <v>1</v>
      </c>
      <c r="E14" s="85" t="s">
        <v>279</v>
      </c>
      <c r="F14" s="85" t="s">
        <v>282</v>
      </c>
    </row>
    <row r="15" spans="1:6" s="163" customFormat="1" ht="45" hidden="1" customHeight="1" outlineLevel="1" x14ac:dyDescent="0.25">
      <c r="A15" s="255"/>
      <c r="B15" s="83" t="s">
        <v>280</v>
      </c>
      <c r="C15" s="105" t="b">
        <v>0</v>
      </c>
      <c r="D15" s="116" t="b">
        <v>1</v>
      </c>
      <c r="E15" s="86" t="s">
        <v>281</v>
      </c>
      <c r="F15" s="86" t="s">
        <v>283</v>
      </c>
    </row>
    <row r="16" spans="1:6" s="163" customFormat="1" ht="45" hidden="1" customHeight="1" outlineLevel="1" x14ac:dyDescent="0.25">
      <c r="A16" s="255"/>
      <c r="B16" s="83" t="s">
        <v>285</v>
      </c>
      <c r="C16" s="105" t="b">
        <v>0</v>
      </c>
      <c r="D16" s="116" t="b">
        <v>1</v>
      </c>
      <c r="E16" s="86" t="s">
        <v>286</v>
      </c>
      <c r="F16" s="86" t="s">
        <v>284</v>
      </c>
    </row>
    <row r="17" spans="1:6" s="163" customFormat="1" ht="45" hidden="1" customHeight="1" outlineLevel="1" x14ac:dyDescent="0.25">
      <c r="A17" s="255"/>
      <c r="B17" s="83" t="s">
        <v>287</v>
      </c>
      <c r="C17" s="105" t="b">
        <v>1</v>
      </c>
      <c r="D17" s="116" t="b">
        <v>0</v>
      </c>
      <c r="E17" s="86" t="s">
        <v>288</v>
      </c>
      <c r="F17" s="86" t="s">
        <v>289</v>
      </c>
    </row>
    <row r="18" spans="1:6" s="163" customFormat="1" ht="45" hidden="1" customHeight="1" outlineLevel="1" thickBot="1" x14ac:dyDescent="0.3">
      <c r="A18" s="256"/>
      <c r="B18" s="84" t="s">
        <v>290</v>
      </c>
      <c r="C18" s="106" t="b">
        <v>0</v>
      </c>
      <c r="D18" s="117" t="b">
        <v>1</v>
      </c>
      <c r="E18" s="87" t="s">
        <v>308</v>
      </c>
      <c r="F18" s="87" t="s">
        <v>291</v>
      </c>
    </row>
    <row r="19" spans="1:6" ht="45" hidden="1" customHeight="1" outlineLevel="1" x14ac:dyDescent="0.25">
      <c r="A19" s="250" t="s">
        <v>254</v>
      </c>
      <c r="B19" s="82" t="s">
        <v>292</v>
      </c>
      <c r="C19" s="108" t="b">
        <v>0</v>
      </c>
      <c r="D19" s="119" t="b">
        <v>1</v>
      </c>
      <c r="E19" s="85" t="s">
        <v>293</v>
      </c>
      <c r="F19" s="85" t="s">
        <v>294</v>
      </c>
    </row>
    <row r="20" spans="1:6" ht="45" hidden="1" customHeight="1" outlineLevel="1" x14ac:dyDescent="0.25">
      <c r="A20" s="251"/>
      <c r="B20" s="83" t="s">
        <v>295</v>
      </c>
      <c r="C20" s="109" t="b">
        <v>0</v>
      </c>
      <c r="D20" s="120" t="b">
        <v>1</v>
      </c>
      <c r="E20" s="86" t="s">
        <v>296</v>
      </c>
      <c r="F20" s="86" t="s">
        <v>297</v>
      </c>
    </row>
    <row r="21" spans="1:6" ht="45" hidden="1" customHeight="1" outlineLevel="1" x14ac:dyDescent="0.25">
      <c r="A21" s="251"/>
      <c r="B21" s="83" t="s">
        <v>298</v>
      </c>
      <c r="C21" s="109" t="b">
        <v>0</v>
      </c>
      <c r="D21" s="120" t="b">
        <v>1</v>
      </c>
      <c r="E21" s="86" t="s">
        <v>299</v>
      </c>
      <c r="F21" s="86" t="s">
        <v>300</v>
      </c>
    </row>
    <row r="22" spans="1:6" ht="45" hidden="1" customHeight="1" outlineLevel="1" x14ac:dyDescent="0.25">
      <c r="A22" s="251"/>
      <c r="B22" s="83" t="s">
        <v>301</v>
      </c>
      <c r="C22" s="109" t="b">
        <v>0</v>
      </c>
      <c r="D22" s="120" t="b">
        <v>1</v>
      </c>
      <c r="E22" s="86" t="s">
        <v>307</v>
      </c>
      <c r="F22" s="86" t="s">
        <v>302</v>
      </c>
    </row>
    <row r="23" spans="1:6" ht="45" hidden="1" customHeight="1" outlineLevel="1" thickBot="1" x14ac:dyDescent="0.3">
      <c r="A23" s="252"/>
      <c r="B23" s="84" t="s">
        <v>303</v>
      </c>
      <c r="C23" s="110" t="b">
        <v>0</v>
      </c>
      <c r="D23" s="121" t="b">
        <v>1</v>
      </c>
      <c r="E23" s="87" t="s">
        <v>304</v>
      </c>
      <c r="F23" s="87" t="s">
        <v>305</v>
      </c>
    </row>
    <row r="24" spans="1:6" ht="15" customHeight="1" collapsed="1" thickBot="1" x14ac:dyDescent="0.3">
      <c r="A24" s="95" t="s">
        <v>5</v>
      </c>
      <c r="B24" s="98" t="s">
        <v>8</v>
      </c>
      <c r="C24" s="111"/>
      <c r="D24" s="122"/>
      <c r="E24" s="88"/>
      <c r="F24" s="88"/>
    </row>
    <row r="25" spans="1:6" ht="45" hidden="1" customHeight="1" outlineLevel="1" x14ac:dyDescent="0.25">
      <c r="A25" s="250" t="s">
        <v>253</v>
      </c>
      <c r="B25" s="82" t="s">
        <v>319</v>
      </c>
      <c r="C25" s="108" t="b">
        <v>0</v>
      </c>
      <c r="D25" s="119" t="b">
        <v>1</v>
      </c>
      <c r="E25" s="85" t="s">
        <v>310</v>
      </c>
      <c r="F25" s="85" t="s">
        <v>320</v>
      </c>
    </row>
    <row r="26" spans="1:6" ht="45" hidden="1" customHeight="1" outlineLevel="1" x14ac:dyDescent="0.25">
      <c r="A26" s="251"/>
      <c r="B26" s="83" t="s">
        <v>318</v>
      </c>
      <c r="C26" s="109" t="b">
        <v>0</v>
      </c>
      <c r="D26" s="120" t="b">
        <v>1</v>
      </c>
      <c r="E26" s="86" t="s">
        <v>311</v>
      </c>
      <c r="F26" s="86" t="s">
        <v>321</v>
      </c>
    </row>
    <row r="27" spans="1:6" ht="45" hidden="1" customHeight="1" outlineLevel="1" x14ac:dyDescent="0.25">
      <c r="A27" s="251"/>
      <c r="B27" s="83" t="s">
        <v>317</v>
      </c>
      <c r="C27" s="109" t="b">
        <v>0</v>
      </c>
      <c r="D27" s="120" t="b">
        <v>1</v>
      </c>
      <c r="E27" s="86" t="s">
        <v>312</v>
      </c>
      <c r="F27" s="86" t="s">
        <v>322</v>
      </c>
    </row>
    <row r="28" spans="1:6" ht="45" hidden="1" customHeight="1" outlineLevel="1" x14ac:dyDescent="0.25">
      <c r="A28" s="251"/>
      <c r="B28" s="83" t="s">
        <v>316</v>
      </c>
      <c r="C28" s="109" t="b">
        <v>1</v>
      </c>
      <c r="D28" s="120" t="b">
        <v>0</v>
      </c>
      <c r="E28" s="86" t="s">
        <v>313</v>
      </c>
      <c r="F28" s="86" t="s">
        <v>323</v>
      </c>
    </row>
    <row r="29" spans="1:6" ht="45" hidden="1" customHeight="1" outlineLevel="1" thickBot="1" x14ac:dyDescent="0.3">
      <c r="A29" s="252"/>
      <c r="B29" s="84" t="s">
        <v>315</v>
      </c>
      <c r="C29" s="110" t="b">
        <v>0</v>
      </c>
      <c r="D29" s="121" t="b">
        <v>1</v>
      </c>
      <c r="E29" s="87" t="s">
        <v>314</v>
      </c>
      <c r="F29" s="87" t="s">
        <v>324</v>
      </c>
    </row>
    <row r="30" spans="1:6" ht="45" hidden="1" customHeight="1" outlineLevel="1" x14ac:dyDescent="0.25">
      <c r="A30" s="250" t="s">
        <v>254</v>
      </c>
      <c r="B30" s="82" t="s">
        <v>309</v>
      </c>
      <c r="C30" s="108" t="b">
        <v>0</v>
      </c>
      <c r="D30" s="119" t="b">
        <v>1</v>
      </c>
      <c r="E30" s="85" t="s">
        <v>329</v>
      </c>
      <c r="F30" s="85" t="s">
        <v>334</v>
      </c>
    </row>
    <row r="31" spans="1:6" ht="45" hidden="1" customHeight="1" outlineLevel="1" x14ac:dyDescent="0.25">
      <c r="A31" s="251"/>
      <c r="B31" s="83" t="s">
        <v>325</v>
      </c>
      <c r="C31" s="109" t="b">
        <v>1</v>
      </c>
      <c r="D31" s="120" t="b">
        <v>0</v>
      </c>
      <c r="E31" s="86" t="s">
        <v>330</v>
      </c>
      <c r="F31" s="86" t="s">
        <v>335</v>
      </c>
    </row>
    <row r="32" spans="1:6" ht="45" hidden="1" customHeight="1" outlineLevel="1" x14ac:dyDescent="0.25">
      <c r="A32" s="251"/>
      <c r="B32" s="83" t="s">
        <v>326</v>
      </c>
      <c r="C32" s="109" t="b">
        <v>0</v>
      </c>
      <c r="D32" s="120" t="b">
        <v>1</v>
      </c>
      <c r="E32" s="86" t="s">
        <v>331</v>
      </c>
      <c r="F32" s="86" t="s">
        <v>336</v>
      </c>
    </row>
    <row r="33" spans="1:6" ht="45" hidden="1" customHeight="1" outlineLevel="1" x14ac:dyDescent="0.25">
      <c r="A33" s="251"/>
      <c r="B33" s="83" t="s">
        <v>327</v>
      </c>
      <c r="C33" s="109" t="b">
        <v>0</v>
      </c>
      <c r="D33" s="120" t="b">
        <v>0</v>
      </c>
      <c r="E33" s="86" t="s">
        <v>332</v>
      </c>
      <c r="F33" s="86" t="s">
        <v>337</v>
      </c>
    </row>
    <row r="34" spans="1:6" ht="45" hidden="1" customHeight="1" outlineLevel="1" thickBot="1" x14ac:dyDescent="0.3">
      <c r="A34" s="252"/>
      <c r="B34" s="84" t="s">
        <v>328</v>
      </c>
      <c r="C34" s="110" t="b">
        <v>0</v>
      </c>
      <c r="D34" s="121" t="b">
        <v>1</v>
      </c>
      <c r="E34" s="87" t="s">
        <v>333</v>
      </c>
      <c r="F34" s="87" t="s">
        <v>338</v>
      </c>
    </row>
    <row r="35" spans="1:6" ht="15" customHeight="1" collapsed="1" thickBot="1" x14ac:dyDescent="0.3">
      <c r="A35" s="95" t="s">
        <v>6</v>
      </c>
      <c r="B35" s="97" t="s">
        <v>7</v>
      </c>
      <c r="C35" s="111"/>
      <c r="D35" s="122"/>
      <c r="E35" s="88"/>
      <c r="F35" s="88"/>
    </row>
    <row r="36" spans="1:6" ht="45" hidden="1" customHeight="1" outlineLevel="1" x14ac:dyDescent="0.25">
      <c r="A36" s="250" t="s">
        <v>253</v>
      </c>
      <c r="B36" s="82" t="s">
        <v>349</v>
      </c>
      <c r="C36" s="108" t="b">
        <v>1</v>
      </c>
      <c r="D36" s="119" t="b">
        <v>0</v>
      </c>
      <c r="E36" s="85" t="s">
        <v>339</v>
      </c>
      <c r="F36" s="85" t="s">
        <v>340</v>
      </c>
    </row>
    <row r="37" spans="1:6" ht="45" hidden="1" customHeight="1" outlineLevel="1" x14ac:dyDescent="0.25">
      <c r="A37" s="251"/>
      <c r="B37" s="83" t="s">
        <v>350</v>
      </c>
      <c r="C37" s="109" t="b">
        <v>0</v>
      </c>
      <c r="D37" s="120" t="b">
        <v>1</v>
      </c>
      <c r="E37" s="86" t="s">
        <v>341</v>
      </c>
      <c r="F37" s="86" t="s">
        <v>342</v>
      </c>
    </row>
    <row r="38" spans="1:6" ht="45" hidden="1" customHeight="1" outlineLevel="1" x14ac:dyDescent="0.25">
      <c r="A38" s="251"/>
      <c r="B38" s="83" t="s">
        <v>351</v>
      </c>
      <c r="C38" s="109" t="b">
        <v>1</v>
      </c>
      <c r="D38" s="120" t="b">
        <v>0</v>
      </c>
      <c r="E38" s="86" t="s">
        <v>343</v>
      </c>
      <c r="F38" s="86" t="s">
        <v>344</v>
      </c>
    </row>
    <row r="39" spans="1:6" ht="45" hidden="1" customHeight="1" outlineLevel="1" x14ac:dyDescent="0.25">
      <c r="A39" s="251"/>
      <c r="B39" s="83" t="s">
        <v>352</v>
      </c>
      <c r="C39" s="109" t="b">
        <v>1</v>
      </c>
      <c r="D39" s="120" t="b">
        <v>0</v>
      </c>
      <c r="E39" s="86" t="s">
        <v>345</v>
      </c>
      <c r="F39" s="86" t="s">
        <v>346</v>
      </c>
    </row>
    <row r="40" spans="1:6" ht="45" hidden="1" customHeight="1" outlineLevel="1" thickBot="1" x14ac:dyDescent="0.3">
      <c r="A40" s="252"/>
      <c r="B40" s="84" t="s">
        <v>353</v>
      </c>
      <c r="C40" s="110" t="b">
        <v>0</v>
      </c>
      <c r="D40" s="121" t="b">
        <v>1</v>
      </c>
      <c r="E40" s="87" t="s">
        <v>347</v>
      </c>
      <c r="F40" s="87" t="s">
        <v>348</v>
      </c>
    </row>
    <row r="41" spans="1:6" ht="45" hidden="1" customHeight="1" outlineLevel="1" x14ac:dyDescent="0.25">
      <c r="A41" s="250" t="s">
        <v>254</v>
      </c>
      <c r="B41" s="82" t="s">
        <v>354</v>
      </c>
      <c r="C41" s="108" t="b">
        <v>0</v>
      </c>
      <c r="D41" s="119" t="b">
        <v>1</v>
      </c>
      <c r="E41" s="85" t="s">
        <v>359</v>
      </c>
      <c r="F41" s="85" t="s">
        <v>364</v>
      </c>
    </row>
    <row r="42" spans="1:6" ht="45" hidden="1" customHeight="1" outlineLevel="1" x14ac:dyDescent="0.25">
      <c r="A42" s="251"/>
      <c r="B42" s="83" t="s">
        <v>355</v>
      </c>
      <c r="C42" s="109" t="b">
        <v>0</v>
      </c>
      <c r="D42" s="120" t="b">
        <v>1</v>
      </c>
      <c r="E42" s="86" t="s">
        <v>360</v>
      </c>
      <c r="F42" s="86" t="s">
        <v>365</v>
      </c>
    </row>
    <row r="43" spans="1:6" ht="45" hidden="1" customHeight="1" outlineLevel="1" x14ac:dyDescent="0.25">
      <c r="A43" s="251"/>
      <c r="B43" s="83" t="s">
        <v>356</v>
      </c>
      <c r="C43" s="109" t="b">
        <v>1</v>
      </c>
      <c r="D43" s="120" t="b">
        <v>0</v>
      </c>
      <c r="E43" s="86" t="s">
        <v>361</v>
      </c>
      <c r="F43" s="86" t="s">
        <v>366</v>
      </c>
    </row>
    <row r="44" spans="1:6" ht="45" hidden="1" customHeight="1" outlineLevel="1" x14ac:dyDescent="0.25">
      <c r="A44" s="251"/>
      <c r="B44" s="83" t="s">
        <v>357</v>
      </c>
      <c r="C44" s="109" t="b">
        <v>0</v>
      </c>
      <c r="D44" s="120" t="b">
        <v>1</v>
      </c>
      <c r="E44" s="86" t="s">
        <v>362</v>
      </c>
      <c r="F44" s="86" t="s">
        <v>367</v>
      </c>
    </row>
    <row r="45" spans="1:6" ht="45" hidden="1" customHeight="1" outlineLevel="1" thickBot="1" x14ac:dyDescent="0.3">
      <c r="A45" s="252"/>
      <c r="B45" s="84" t="s">
        <v>358</v>
      </c>
      <c r="C45" s="110" t="b">
        <v>0</v>
      </c>
      <c r="D45" s="121" t="b">
        <v>1</v>
      </c>
      <c r="E45" s="87" t="s">
        <v>363</v>
      </c>
      <c r="F45" s="87" t="s">
        <v>368</v>
      </c>
    </row>
    <row r="46" spans="1:6" ht="15" customHeight="1" collapsed="1" thickBot="1" x14ac:dyDescent="0.3">
      <c r="A46" s="95" t="s">
        <v>9</v>
      </c>
      <c r="B46" s="97" t="s">
        <v>10</v>
      </c>
      <c r="C46" s="111"/>
      <c r="D46" s="122"/>
      <c r="E46" s="88"/>
      <c r="F46" s="88"/>
    </row>
    <row r="47" spans="1:6" ht="45" hidden="1" customHeight="1" outlineLevel="1" x14ac:dyDescent="0.25">
      <c r="A47" s="250" t="s">
        <v>253</v>
      </c>
      <c r="B47" s="82" t="s">
        <v>369</v>
      </c>
      <c r="C47" s="108" t="b">
        <v>1</v>
      </c>
      <c r="D47" s="119" t="b">
        <v>0</v>
      </c>
      <c r="E47" s="85" t="s">
        <v>374</v>
      </c>
      <c r="F47" s="85" t="s">
        <v>379</v>
      </c>
    </row>
    <row r="48" spans="1:6" ht="45" hidden="1" customHeight="1" outlineLevel="1" x14ac:dyDescent="0.25">
      <c r="A48" s="251"/>
      <c r="B48" s="83" t="s">
        <v>370</v>
      </c>
      <c r="C48" s="109" t="b">
        <v>1</v>
      </c>
      <c r="D48" s="120" t="b">
        <v>0</v>
      </c>
      <c r="E48" s="86" t="s">
        <v>375</v>
      </c>
      <c r="F48" s="86" t="s">
        <v>380</v>
      </c>
    </row>
    <row r="49" spans="1:6" ht="45" hidden="1" customHeight="1" outlineLevel="1" x14ac:dyDescent="0.25">
      <c r="A49" s="251"/>
      <c r="B49" s="83" t="s">
        <v>371</v>
      </c>
      <c r="C49" s="109" t="b">
        <v>1</v>
      </c>
      <c r="D49" s="120" t="b">
        <v>0</v>
      </c>
      <c r="E49" s="86" t="s">
        <v>376</v>
      </c>
      <c r="F49" s="86" t="s">
        <v>381</v>
      </c>
    </row>
    <row r="50" spans="1:6" ht="45" hidden="1" customHeight="1" outlineLevel="1" x14ac:dyDescent="0.25">
      <c r="A50" s="251"/>
      <c r="B50" s="162" t="s">
        <v>372</v>
      </c>
      <c r="C50" s="109" t="b">
        <v>1</v>
      </c>
      <c r="D50" s="120" t="b">
        <v>0</v>
      </c>
      <c r="E50" s="86" t="s">
        <v>377</v>
      </c>
      <c r="F50" s="86" t="s">
        <v>382</v>
      </c>
    </row>
    <row r="51" spans="1:6" ht="45" hidden="1" customHeight="1" outlineLevel="1" thickBot="1" x14ac:dyDescent="0.3">
      <c r="A51" s="252"/>
      <c r="B51" s="83" t="s">
        <v>373</v>
      </c>
      <c r="C51" s="110" t="b">
        <v>1</v>
      </c>
      <c r="D51" s="121" t="b">
        <v>0</v>
      </c>
      <c r="E51" s="87" t="s">
        <v>378</v>
      </c>
      <c r="F51" s="87" t="s">
        <v>383</v>
      </c>
    </row>
    <row r="52" spans="1:6" ht="45" hidden="1" customHeight="1" outlineLevel="1" x14ac:dyDescent="0.25">
      <c r="A52" s="250" t="s">
        <v>254</v>
      </c>
      <c r="B52" s="82" t="s">
        <v>384</v>
      </c>
      <c r="C52" s="108" t="b">
        <v>1</v>
      </c>
      <c r="D52" s="119" t="b">
        <v>0</v>
      </c>
      <c r="E52" s="85" t="s">
        <v>389</v>
      </c>
      <c r="F52" s="85" t="s">
        <v>394</v>
      </c>
    </row>
    <row r="53" spans="1:6" ht="45" hidden="1" customHeight="1" outlineLevel="1" x14ac:dyDescent="0.25">
      <c r="A53" s="251"/>
      <c r="B53" s="83" t="s">
        <v>385</v>
      </c>
      <c r="C53" s="109" t="b">
        <v>1</v>
      </c>
      <c r="D53" s="120" t="b">
        <v>0</v>
      </c>
      <c r="E53" s="86" t="s">
        <v>390</v>
      </c>
      <c r="F53" s="86" t="s">
        <v>395</v>
      </c>
    </row>
    <row r="54" spans="1:6" ht="45" hidden="1" customHeight="1" outlineLevel="1" x14ac:dyDescent="0.25">
      <c r="A54" s="251"/>
      <c r="B54" s="83" t="s">
        <v>386</v>
      </c>
      <c r="C54" s="109" t="b">
        <v>0</v>
      </c>
      <c r="D54" s="120" t="b">
        <v>1</v>
      </c>
      <c r="E54" s="86" t="s">
        <v>391</v>
      </c>
      <c r="F54" s="86" t="s">
        <v>396</v>
      </c>
    </row>
    <row r="55" spans="1:6" ht="45" hidden="1" customHeight="1" outlineLevel="1" x14ac:dyDescent="0.25">
      <c r="A55" s="251"/>
      <c r="B55" s="83" t="s">
        <v>387</v>
      </c>
      <c r="C55" s="109" t="b">
        <v>0</v>
      </c>
      <c r="D55" s="120" t="b">
        <v>1</v>
      </c>
      <c r="E55" s="86" t="s">
        <v>392</v>
      </c>
      <c r="F55" s="86" t="s">
        <v>397</v>
      </c>
    </row>
    <row r="56" spans="1:6" ht="45" hidden="1" customHeight="1" outlineLevel="1" thickBot="1" x14ac:dyDescent="0.3">
      <c r="A56" s="252"/>
      <c r="B56" s="84" t="s">
        <v>388</v>
      </c>
      <c r="C56" s="110" t="b">
        <v>1</v>
      </c>
      <c r="D56" s="121" t="b">
        <v>0</v>
      </c>
      <c r="E56" s="87" t="s">
        <v>393</v>
      </c>
      <c r="F56" s="87" t="s">
        <v>398</v>
      </c>
    </row>
    <row r="57" spans="1:6" ht="15" customHeight="1" collapsed="1" thickBot="1" x14ac:dyDescent="0.3">
      <c r="A57" s="101" t="s">
        <v>13</v>
      </c>
      <c r="B57" s="102" t="s">
        <v>15</v>
      </c>
      <c r="C57" s="112"/>
      <c r="D57" s="123"/>
      <c r="E57" s="88"/>
      <c r="F57" s="88"/>
    </row>
    <row r="58" spans="1:6" ht="45" hidden="1" customHeight="1" outlineLevel="1" x14ac:dyDescent="0.25">
      <c r="A58" s="250" t="s">
        <v>253</v>
      </c>
      <c r="B58" s="82" t="s">
        <v>399</v>
      </c>
      <c r="C58" s="108" t="b">
        <v>1</v>
      </c>
      <c r="D58" s="119" t="b">
        <v>0</v>
      </c>
      <c r="E58" s="85" t="s">
        <v>402</v>
      </c>
      <c r="F58" s="85" t="s">
        <v>408</v>
      </c>
    </row>
    <row r="59" spans="1:6" ht="45" hidden="1" customHeight="1" outlineLevel="1" x14ac:dyDescent="0.25">
      <c r="A59" s="251"/>
      <c r="B59" s="83" t="s">
        <v>400</v>
      </c>
      <c r="C59" s="109" t="b">
        <v>1</v>
      </c>
      <c r="D59" s="120" t="b">
        <v>0</v>
      </c>
      <c r="E59" s="86" t="s">
        <v>403</v>
      </c>
      <c r="F59" s="86" t="s">
        <v>410</v>
      </c>
    </row>
    <row r="60" spans="1:6" ht="45" hidden="1" customHeight="1" outlineLevel="1" x14ac:dyDescent="0.25">
      <c r="A60" s="251"/>
      <c r="B60" s="83" t="s">
        <v>407</v>
      </c>
      <c r="C60" s="109" t="b">
        <v>0</v>
      </c>
      <c r="D60" s="120" t="b">
        <v>1</v>
      </c>
      <c r="E60" s="86" t="s">
        <v>404</v>
      </c>
      <c r="F60" s="86" t="s">
        <v>411</v>
      </c>
    </row>
    <row r="61" spans="1:6" ht="45" hidden="1" customHeight="1" outlineLevel="1" x14ac:dyDescent="0.25">
      <c r="A61" s="251"/>
      <c r="B61" s="83" t="s">
        <v>401</v>
      </c>
      <c r="C61" s="109" t="b">
        <v>1</v>
      </c>
      <c r="D61" s="120" t="b">
        <v>0</v>
      </c>
      <c r="E61" s="86" t="s">
        <v>405</v>
      </c>
      <c r="F61" s="86" t="s">
        <v>412</v>
      </c>
    </row>
    <row r="62" spans="1:6" ht="45" hidden="1" customHeight="1" outlineLevel="1" thickBot="1" x14ac:dyDescent="0.3">
      <c r="A62" s="252"/>
      <c r="B62" s="84" t="s">
        <v>409</v>
      </c>
      <c r="C62" s="110" t="b">
        <v>1</v>
      </c>
      <c r="D62" s="121" t="b">
        <v>0</v>
      </c>
      <c r="E62" s="87" t="s">
        <v>406</v>
      </c>
      <c r="F62" s="87" t="s">
        <v>413</v>
      </c>
    </row>
    <row r="63" spans="1:6" ht="45" hidden="1" customHeight="1" outlineLevel="1" x14ac:dyDescent="0.25">
      <c r="A63" s="250" t="s">
        <v>254</v>
      </c>
      <c r="B63" s="82" t="s">
        <v>414</v>
      </c>
      <c r="C63" s="108" t="b">
        <v>1</v>
      </c>
      <c r="D63" s="119" t="b">
        <v>0</v>
      </c>
      <c r="E63" s="85" t="s">
        <v>418</v>
      </c>
      <c r="F63" s="85" t="s">
        <v>423</v>
      </c>
    </row>
    <row r="64" spans="1:6" ht="45" hidden="1" customHeight="1" outlineLevel="1" x14ac:dyDescent="0.25">
      <c r="A64" s="251"/>
      <c r="B64" s="83" t="s">
        <v>415</v>
      </c>
      <c r="C64" s="109" t="b">
        <v>1</v>
      </c>
      <c r="D64" s="120" t="b">
        <v>0</v>
      </c>
      <c r="E64" s="86" t="s">
        <v>419</v>
      </c>
      <c r="F64" s="86" t="s">
        <v>424</v>
      </c>
    </row>
    <row r="65" spans="1:6" ht="45" hidden="1" customHeight="1" outlineLevel="1" x14ac:dyDescent="0.25">
      <c r="A65" s="251"/>
      <c r="B65" s="83" t="s">
        <v>416</v>
      </c>
      <c r="C65" s="109" t="b">
        <v>0</v>
      </c>
      <c r="D65" s="120" t="b">
        <v>0</v>
      </c>
      <c r="E65" s="86" t="s">
        <v>420</v>
      </c>
      <c r="F65" s="86" t="s">
        <v>425</v>
      </c>
    </row>
    <row r="66" spans="1:6" ht="45" hidden="1" customHeight="1" outlineLevel="1" x14ac:dyDescent="0.25">
      <c r="A66" s="251"/>
      <c r="B66" s="83" t="s">
        <v>417</v>
      </c>
      <c r="C66" s="109" t="b">
        <v>1</v>
      </c>
      <c r="D66" s="120" t="b">
        <v>0</v>
      </c>
      <c r="E66" s="86" t="s">
        <v>422</v>
      </c>
      <c r="F66" s="86" t="s">
        <v>426</v>
      </c>
    </row>
    <row r="67" spans="1:6" ht="45" hidden="1" customHeight="1" outlineLevel="1" thickBot="1" x14ac:dyDescent="0.3">
      <c r="A67" s="252"/>
      <c r="B67" s="84" t="s">
        <v>576</v>
      </c>
      <c r="C67" s="110" t="b">
        <v>0</v>
      </c>
      <c r="D67" s="121" t="b">
        <v>0</v>
      </c>
      <c r="E67" s="87" t="s">
        <v>421</v>
      </c>
      <c r="F67" s="87" t="s">
        <v>427</v>
      </c>
    </row>
    <row r="68" spans="1:6" ht="15" customHeight="1" collapsed="1" thickBot="1" x14ac:dyDescent="0.3">
      <c r="A68" s="101" t="s">
        <v>14</v>
      </c>
      <c r="B68" s="102" t="s">
        <v>16</v>
      </c>
      <c r="C68" s="112"/>
      <c r="D68" s="123"/>
      <c r="E68" s="88"/>
      <c r="F68" s="88"/>
    </row>
    <row r="69" spans="1:6" ht="45" hidden="1" customHeight="1" outlineLevel="1" x14ac:dyDescent="0.25">
      <c r="A69" s="250" t="s">
        <v>253</v>
      </c>
      <c r="B69" s="82" t="s">
        <v>428</v>
      </c>
      <c r="C69" s="108" t="b">
        <v>1</v>
      </c>
      <c r="D69" s="119" t="b">
        <v>0</v>
      </c>
      <c r="E69" s="85" t="s">
        <v>429</v>
      </c>
      <c r="F69" s="85" t="s">
        <v>430</v>
      </c>
    </row>
    <row r="70" spans="1:6" ht="45" hidden="1" customHeight="1" outlineLevel="1" x14ac:dyDescent="0.25">
      <c r="A70" s="251"/>
      <c r="B70" s="83" t="s">
        <v>431</v>
      </c>
      <c r="C70" s="109" t="b">
        <v>0</v>
      </c>
      <c r="D70" s="120" t="b">
        <v>1</v>
      </c>
      <c r="E70" s="86" t="s">
        <v>432</v>
      </c>
      <c r="F70" s="86" t="s">
        <v>433</v>
      </c>
    </row>
    <row r="71" spans="1:6" ht="45" hidden="1" customHeight="1" outlineLevel="1" x14ac:dyDescent="0.25">
      <c r="A71" s="251"/>
      <c r="B71" s="83" t="s">
        <v>434</v>
      </c>
      <c r="C71" s="109" t="b">
        <v>1</v>
      </c>
      <c r="D71" s="120" t="b">
        <v>0</v>
      </c>
      <c r="E71" s="86" t="s">
        <v>435</v>
      </c>
      <c r="F71" s="86" t="s">
        <v>436</v>
      </c>
    </row>
    <row r="72" spans="1:6" ht="45" hidden="1" customHeight="1" outlineLevel="1" x14ac:dyDescent="0.25">
      <c r="A72" s="251"/>
      <c r="B72" s="83" t="s">
        <v>437</v>
      </c>
      <c r="C72" s="109" t="b">
        <v>1</v>
      </c>
      <c r="D72" s="120" t="b">
        <v>0</v>
      </c>
      <c r="E72" s="86" t="s">
        <v>438</v>
      </c>
      <c r="F72" s="86" t="s">
        <v>439</v>
      </c>
    </row>
    <row r="73" spans="1:6" ht="45" hidden="1" customHeight="1" outlineLevel="1" thickBot="1" x14ac:dyDescent="0.3">
      <c r="A73" s="252"/>
      <c r="B73" s="84" t="s">
        <v>577</v>
      </c>
      <c r="C73" s="110" t="b">
        <v>1</v>
      </c>
      <c r="D73" s="121" t="b">
        <v>0</v>
      </c>
      <c r="E73" s="87" t="s">
        <v>440</v>
      </c>
      <c r="F73" s="87" t="s">
        <v>441</v>
      </c>
    </row>
    <row r="74" spans="1:6" ht="45" hidden="1" customHeight="1" outlineLevel="1" x14ac:dyDescent="0.25">
      <c r="A74" s="250" t="s">
        <v>254</v>
      </c>
      <c r="B74" s="82" t="s">
        <v>444</v>
      </c>
      <c r="C74" s="108" t="b">
        <v>1</v>
      </c>
      <c r="D74" s="119" t="b">
        <v>0</v>
      </c>
      <c r="E74" s="85" t="s">
        <v>442</v>
      </c>
      <c r="F74" s="85" t="s">
        <v>443</v>
      </c>
    </row>
    <row r="75" spans="1:6" ht="45" hidden="1" customHeight="1" outlineLevel="1" x14ac:dyDescent="0.25">
      <c r="A75" s="251"/>
      <c r="B75" s="83" t="s">
        <v>262</v>
      </c>
      <c r="C75" s="109" t="b">
        <v>1</v>
      </c>
      <c r="D75" s="120" t="b">
        <v>0</v>
      </c>
      <c r="E75" s="86" t="s">
        <v>445</v>
      </c>
      <c r="F75" s="86" t="s">
        <v>446</v>
      </c>
    </row>
    <row r="76" spans="1:6" ht="45" hidden="1" customHeight="1" outlineLevel="1" x14ac:dyDescent="0.25">
      <c r="A76" s="251"/>
      <c r="B76" s="83" t="s">
        <v>447</v>
      </c>
      <c r="C76" s="109" t="b">
        <v>0</v>
      </c>
      <c r="D76" s="120" t="b">
        <v>0</v>
      </c>
      <c r="E76" s="86" t="s">
        <v>448</v>
      </c>
      <c r="F76" s="86" t="s">
        <v>449</v>
      </c>
    </row>
    <row r="77" spans="1:6" ht="45" hidden="1" customHeight="1" outlineLevel="1" x14ac:dyDescent="0.25">
      <c r="A77" s="251"/>
      <c r="B77" s="162" t="s">
        <v>450</v>
      </c>
      <c r="C77" s="109" t="b">
        <v>0</v>
      </c>
      <c r="D77" s="120" t="b">
        <v>1</v>
      </c>
      <c r="E77" s="86" t="s">
        <v>451</v>
      </c>
      <c r="F77" s="86" t="s">
        <v>452</v>
      </c>
    </row>
    <row r="78" spans="1:6" ht="45" hidden="1" customHeight="1" outlineLevel="1" thickBot="1" x14ac:dyDescent="0.3">
      <c r="A78" s="252"/>
      <c r="B78" s="83" t="s">
        <v>453</v>
      </c>
      <c r="C78" s="110" t="b">
        <v>0</v>
      </c>
      <c r="D78" s="121" t="b">
        <v>1</v>
      </c>
      <c r="E78" s="87" t="s">
        <v>454</v>
      </c>
      <c r="F78" s="87" t="s">
        <v>455</v>
      </c>
    </row>
    <row r="79" spans="1:6" ht="15" customHeight="1" collapsed="1" thickBot="1" x14ac:dyDescent="0.3">
      <c r="A79" s="101" t="s">
        <v>17</v>
      </c>
      <c r="B79" s="102" t="s">
        <v>18</v>
      </c>
      <c r="C79" s="112"/>
      <c r="D79" s="123"/>
      <c r="E79" s="88"/>
      <c r="F79" s="88"/>
    </row>
    <row r="80" spans="1:6" ht="45" hidden="1" customHeight="1" outlineLevel="1" x14ac:dyDescent="0.25">
      <c r="A80" s="250" t="s">
        <v>253</v>
      </c>
      <c r="B80" s="82" t="s">
        <v>456</v>
      </c>
      <c r="C80" s="108" t="b">
        <v>1</v>
      </c>
      <c r="D80" s="119" t="b">
        <v>0</v>
      </c>
      <c r="E80" s="85" t="s">
        <v>458</v>
      </c>
      <c r="F80" s="85" t="s">
        <v>460</v>
      </c>
    </row>
    <row r="81" spans="1:6" ht="45" hidden="1" customHeight="1" outlineLevel="1" x14ac:dyDescent="0.25">
      <c r="A81" s="251"/>
      <c r="B81" s="83" t="s">
        <v>457</v>
      </c>
      <c r="C81" s="109" t="b">
        <v>0</v>
      </c>
      <c r="D81" s="120" t="b">
        <v>1</v>
      </c>
      <c r="E81" s="86" t="s">
        <v>459</v>
      </c>
      <c r="F81" s="86" t="s">
        <v>461</v>
      </c>
    </row>
    <row r="82" spans="1:6" ht="45" hidden="1" customHeight="1" outlineLevel="1" x14ac:dyDescent="0.25">
      <c r="A82" s="251"/>
      <c r="B82" s="83" t="s">
        <v>463</v>
      </c>
      <c r="C82" s="109" t="b">
        <v>1</v>
      </c>
      <c r="D82" s="120" t="b">
        <v>0</v>
      </c>
      <c r="E82" s="86" t="s">
        <v>472</v>
      </c>
      <c r="F82" s="86" t="s">
        <v>462</v>
      </c>
    </row>
    <row r="83" spans="1:6" ht="45" hidden="1" customHeight="1" outlineLevel="1" x14ac:dyDescent="0.25">
      <c r="A83" s="251"/>
      <c r="B83" s="83" t="s">
        <v>464</v>
      </c>
      <c r="C83" s="109" t="b">
        <v>0</v>
      </c>
      <c r="D83" s="120" t="b">
        <v>0</v>
      </c>
      <c r="E83" s="86" t="s">
        <v>473</v>
      </c>
      <c r="F83" s="86" t="s">
        <v>465</v>
      </c>
    </row>
    <row r="84" spans="1:6" ht="45" hidden="1" customHeight="1" outlineLevel="1" thickBot="1" x14ac:dyDescent="0.3">
      <c r="A84" s="252"/>
      <c r="B84" s="84" t="s">
        <v>466</v>
      </c>
      <c r="C84" s="110" t="b">
        <v>1</v>
      </c>
      <c r="D84" s="121" t="b">
        <v>0</v>
      </c>
      <c r="E84" s="87" t="s">
        <v>474</v>
      </c>
      <c r="F84" s="87" t="s">
        <v>467</v>
      </c>
    </row>
    <row r="85" spans="1:6" ht="45" hidden="1" customHeight="1" outlineLevel="1" x14ac:dyDescent="0.25">
      <c r="A85" s="250" t="s">
        <v>254</v>
      </c>
      <c r="B85" s="82" t="s">
        <v>475</v>
      </c>
      <c r="C85" s="108" t="b">
        <v>1</v>
      </c>
      <c r="D85" s="119" t="b">
        <v>0</v>
      </c>
      <c r="E85" s="85" t="s">
        <v>480</v>
      </c>
      <c r="F85" s="85" t="s">
        <v>468</v>
      </c>
    </row>
    <row r="86" spans="1:6" ht="45" hidden="1" customHeight="1" outlineLevel="1" x14ac:dyDescent="0.25">
      <c r="A86" s="251"/>
      <c r="B86" s="83" t="s">
        <v>476</v>
      </c>
      <c r="C86" s="109" t="b">
        <v>1</v>
      </c>
      <c r="D86" s="120" t="b">
        <v>0</v>
      </c>
      <c r="E86" s="86" t="s">
        <v>481</v>
      </c>
      <c r="F86" s="86" t="s">
        <v>469</v>
      </c>
    </row>
    <row r="87" spans="1:6" ht="45" hidden="1" customHeight="1" outlineLevel="1" x14ac:dyDescent="0.25">
      <c r="A87" s="251"/>
      <c r="B87" s="16" t="s">
        <v>477</v>
      </c>
      <c r="C87" s="109" t="b">
        <v>0</v>
      </c>
      <c r="D87" s="120" t="b">
        <v>1</v>
      </c>
      <c r="E87" s="86" t="s">
        <v>482</v>
      </c>
      <c r="F87" s="86" t="s">
        <v>470</v>
      </c>
    </row>
    <row r="88" spans="1:6" ht="45" hidden="1" customHeight="1" outlineLevel="1" x14ac:dyDescent="0.25">
      <c r="A88" s="251"/>
      <c r="B88" s="83" t="s">
        <v>478</v>
      </c>
      <c r="C88" s="109" t="b">
        <v>0</v>
      </c>
      <c r="D88" s="120" t="b">
        <v>1</v>
      </c>
      <c r="E88" s="86" t="s">
        <v>483</v>
      </c>
      <c r="F88" s="86" t="s">
        <v>471</v>
      </c>
    </row>
    <row r="89" spans="1:6" ht="45" hidden="1" customHeight="1" outlineLevel="1" thickBot="1" x14ac:dyDescent="0.3">
      <c r="A89" s="252"/>
      <c r="B89" s="84" t="s">
        <v>479</v>
      </c>
      <c r="C89" s="110" t="b">
        <v>1</v>
      </c>
      <c r="D89" s="121" t="b">
        <v>0</v>
      </c>
      <c r="E89" s="87" t="s">
        <v>484</v>
      </c>
      <c r="F89" s="87" t="s">
        <v>485</v>
      </c>
    </row>
    <row r="90" spans="1:6" ht="15" customHeight="1" collapsed="1" thickBot="1" x14ac:dyDescent="0.3">
      <c r="A90" s="101" t="s">
        <v>19</v>
      </c>
      <c r="B90" s="102" t="s">
        <v>20</v>
      </c>
      <c r="C90" s="112"/>
      <c r="D90" s="123"/>
      <c r="E90" s="88"/>
      <c r="F90" s="88"/>
    </row>
    <row r="91" spans="1:6" ht="45" hidden="1" customHeight="1" outlineLevel="1" x14ac:dyDescent="0.25">
      <c r="A91" s="250" t="s">
        <v>253</v>
      </c>
      <c r="B91" s="82" t="s">
        <v>486</v>
      </c>
      <c r="C91" s="108" t="b">
        <v>1</v>
      </c>
      <c r="D91" s="119" t="b">
        <v>0</v>
      </c>
      <c r="E91" s="85" t="s">
        <v>491</v>
      </c>
      <c r="F91" s="85" t="s">
        <v>496</v>
      </c>
    </row>
    <row r="92" spans="1:6" ht="45" hidden="1" customHeight="1" outlineLevel="1" x14ac:dyDescent="0.25">
      <c r="A92" s="251"/>
      <c r="B92" s="83" t="s">
        <v>487</v>
      </c>
      <c r="C92" s="109" t="b">
        <v>1</v>
      </c>
      <c r="D92" s="120" t="b">
        <v>0</v>
      </c>
      <c r="E92" s="86" t="s">
        <v>492</v>
      </c>
      <c r="F92" s="86" t="s">
        <v>497</v>
      </c>
    </row>
    <row r="93" spans="1:6" ht="45" hidden="1" customHeight="1" outlineLevel="1" x14ac:dyDescent="0.25">
      <c r="A93" s="251"/>
      <c r="B93" s="83" t="s">
        <v>488</v>
      </c>
      <c r="C93" s="109" t="b">
        <v>1</v>
      </c>
      <c r="D93" s="120" t="b">
        <v>0</v>
      </c>
      <c r="E93" s="86" t="s">
        <v>493</v>
      </c>
      <c r="F93" s="86" t="s">
        <v>498</v>
      </c>
    </row>
    <row r="94" spans="1:6" ht="45" hidden="1" customHeight="1" outlineLevel="1" x14ac:dyDescent="0.25">
      <c r="A94" s="251"/>
      <c r="B94" s="83" t="s">
        <v>489</v>
      </c>
      <c r="C94" s="109" t="b">
        <v>1</v>
      </c>
      <c r="D94" s="120" t="b">
        <v>0</v>
      </c>
      <c r="E94" s="86" t="s">
        <v>494</v>
      </c>
      <c r="F94" s="86" t="s">
        <v>499</v>
      </c>
    </row>
    <row r="95" spans="1:6" ht="45" hidden="1" customHeight="1" outlineLevel="1" thickBot="1" x14ac:dyDescent="0.3">
      <c r="A95" s="252"/>
      <c r="B95" s="84" t="s">
        <v>490</v>
      </c>
      <c r="C95" s="110" t="b">
        <v>0</v>
      </c>
      <c r="D95" s="121" t="b">
        <v>0</v>
      </c>
      <c r="E95" s="87" t="s">
        <v>495</v>
      </c>
      <c r="F95" s="87" t="s">
        <v>500</v>
      </c>
    </row>
    <row r="96" spans="1:6" ht="45" hidden="1" customHeight="1" outlineLevel="1" x14ac:dyDescent="0.25">
      <c r="A96" s="250" t="s">
        <v>254</v>
      </c>
      <c r="B96" s="82" t="s">
        <v>515</v>
      </c>
      <c r="C96" s="108" t="b">
        <v>1</v>
      </c>
      <c r="D96" s="119" t="b">
        <v>0</v>
      </c>
      <c r="E96" s="85" t="s">
        <v>510</v>
      </c>
      <c r="F96" s="85" t="s">
        <v>501</v>
      </c>
    </row>
    <row r="97" spans="1:6" ht="45" hidden="1" customHeight="1" outlineLevel="1" x14ac:dyDescent="0.25">
      <c r="A97" s="251"/>
      <c r="B97" s="83" t="s">
        <v>514</v>
      </c>
      <c r="C97" s="109" t="b">
        <v>1</v>
      </c>
      <c r="D97" s="120" t="b">
        <v>0</v>
      </c>
      <c r="E97" s="86" t="s">
        <v>509</v>
      </c>
      <c r="F97" s="86" t="s">
        <v>502</v>
      </c>
    </row>
    <row r="98" spans="1:6" ht="45" hidden="1" customHeight="1" outlineLevel="1" x14ac:dyDescent="0.25">
      <c r="A98" s="251"/>
      <c r="B98" s="83" t="s">
        <v>513</v>
      </c>
      <c r="C98" s="109" t="b">
        <v>1</v>
      </c>
      <c r="D98" s="120" t="b">
        <v>0</v>
      </c>
      <c r="E98" s="86" t="s">
        <v>508</v>
      </c>
      <c r="F98" s="86" t="s">
        <v>503</v>
      </c>
    </row>
    <row r="99" spans="1:6" ht="45" hidden="1" customHeight="1" outlineLevel="1" x14ac:dyDescent="0.25">
      <c r="A99" s="251"/>
      <c r="B99" s="83" t="s">
        <v>512</v>
      </c>
      <c r="C99" s="109" t="b">
        <v>1</v>
      </c>
      <c r="D99" s="120" t="b">
        <v>0</v>
      </c>
      <c r="E99" s="86" t="s">
        <v>507</v>
      </c>
      <c r="F99" s="86" t="s">
        <v>504</v>
      </c>
    </row>
    <row r="100" spans="1:6" ht="45" hidden="1" customHeight="1" outlineLevel="1" thickBot="1" x14ac:dyDescent="0.3">
      <c r="A100" s="253"/>
      <c r="B100" s="203" t="s">
        <v>511</v>
      </c>
      <c r="C100" s="113" t="b">
        <v>0</v>
      </c>
      <c r="D100" s="124" t="b">
        <v>1</v>
      </c>
      <c r="E100" s="89" t="s">
        <v>506</v>
      </c>
      <c r="F100" s="89" t="s">
        <v>505</v>
      </c>
    </row>
    <row r="101" spans="1:6" ht="15" customHeight="1" thickBot="1" x14ac:dyDescent="0.3">
      <c r="A101" s="103" t="s">
        <v>21</v>
      </c>
      <c r="B101" s="207" t="s">
        <v>256</v>
      </c>
      <c r="C101" s="114"/>
      <c r="D101" s="125"/>
      <c r="E101" s="88"/>
      <c r="F101" s="88"/>
    </row>
    <row r="102" spans="1:6" ht="45" customHeight="1" outlineLevel="1" x14ac:dyDescent="0.25">
      <c r="A102" s="250" t="s">
        <v>253</v>
      </c>
      <c r="B102" s="152" t="s">
        <v>526</v>
      </c>
      <c r="C102" s="153" t="b">
        <v>1</v>
      </c>
      <c r="D102" s="154" t="b">
        <v>0</v>
      </c>
      <c r="E102" s="85" t="s">
        <v>516</v>
      </c>
      <c r="F102" s="85" t="s">
        <v>517</v>
      </c>
    </row>
    <row r="103" spans="1:6" ht="45" customHeight="1" outlineLevel="1" x14ac:dyDescent="0.25">
      <c r="A103" s="251"/>
      <c r="B103" s="155" t="s">
        <v>531</v>
      </c>
      <c r="C103" s="156" t="b">
        <v>1</v>
      </c>
      <c r="D103" s="157" t="b">
        <v>0</v>
      </c>
      <c r="E103" s="86" t="s">
        <v>518</v>
      </c>
      <c r="F103" s="86" t="s">
        <v>519</v>
      </c>
    </row>
    <row r="104" spans="1:6" ht="45" customHeight="1" outlineLevel="1" x14ac:dyDescent="0.25">
      <c r="A104" s="251"/>
      <c r="B104" s="155" t="s">
        <v>527</v>
      </c>
      <c r="C104" s="156" t="b">
        <v>1</v>
      </c>
      <c r="D104" s="157" t="b">
        <v>0</v>
      </c>
      <c r="E104" s="86" t="s">
        <v>520</v>
      </c>
      <c r="F104" s="86" t="s">
        <v>521</v>
      </c>
    </row>
    <row r="105" spans="1:6" ht="45" customHeight="1" outlineLevel="1" x14ac:dyDescent="0.25">
      <c r="A105" s="251"/>
      <c r="B105" s="155" t="s">
        <v>532</v>
      </c>
      <c r="C105" s="156" t="b">
        <v>0</v>
      </c>
      <c r="D105" s="157" t="b">
        <v>1</v>
      </c>
      <c r="E105" s="86" t="s">
        <v>522</v>
      </c>
      <c r="F105" s="86" t="s">
        <v>523</v>
      </c>
    </row>
    <row r="106" spans="1:6" ht="45" customHeight="1" outlineLevel="1" thickBot="1" x14ac:dyDescent="0.3">
      <c r="A106" s="252"/>
      <c r="B106" s="158" t="s">
        <v>528</v>
      </c>
      <c r="C106" s="159" t="b">
        <v>0</v>
      </c>
      <c r="D106" s="160" t="b">
        <v>1</v>
      </c>
      <c r="E106" s="87" t="s">
        <v>524</v>
      </c>
      <c r="F106" s="87" t="s">
        <v>525</v>
      </c>
    </row>
    <row r="107" spans="1:6" ht="45" customHeight="1" outlineLevel="1" x14ac:dyDescent="0.25">
      <c r="A107" s="250" t="s">
        <v>254</v>
      </c>
      <c r="B107" s="152" t="s">
        <v>533</v>
      </c>
      <c r="C107" s="153" t="b">
        <v>0</v>
      </c>
      <c r="D107" s="154" t="b">
        <v>1</v>
      </c>
      <c r="E107" s="85" t="s">
        <v>529</v>
      </c>
      <c r="F107" s="85" t="s">
        <v>530</v>
      </c>
    </row>
    <row r="108" spans="1:6" ht="45" customHeight="1" outlineLevel="1" x14ac:dyDescent="0.25">
      <c r="A108" s="251"/>
      <c r="B108" s="155" t="s">
        <v>534</v>
      </c>
      <c r="C108" s="156" t="b">
        <v>0</v>
      </c>
      <c r="D108" s="157" t="b">
        <v>1</v>
      </c>
      <c r="E108" s="86" t="s">
        <v>538</v>
      </c>
      <c r="F108" s="86" t="s">
        <v>542</v>
      </c>
    </row>
    <row r="109" spans="1:6" ht="45" customHeight="1" outlineLevel="1" x14ac:dyDescent="0.25">
      <c r="A109" s="251"/>
      <c r="B109" s="203" t="s">
        <v>535</v>
      </c>
      <c r="C109" s="156" t="b">
        <v>1</v>
      </c>
      <c r="D109" s="157" t="b">
        <v>0</v>
      </c>
      <c r="E109" s="86" t="s">
        <v>539</v>
      </c>
      <c r="F109" s="86" t="s">
        <v>543</v>
      </c>
    </row>
    <row r="110" spans="1:6" ht="45" customHeight="1" outlineLevel="1" x14ac:dyDescent="0.25">
      <c r="A110" s="251"/>
      <c r="B110" s="203" t="s">
        <v>536</v>
      </c>
      <c r="C110" s="156" t="b">
        <v>0</v>
      </c>
      <c r="D110" s="157" t="b">
        <v>1</v>
      </c>
      <c r="E110" s="86" t="s">
        <v>540</v>
      </c>
      <c r="F110" s="86" t="s">
        <v>544</v>
      </c>
    </row>
    <row r="111" spans="1:6" ht="45" customHeight="1" outlineLevel="1" thickBot="1" x14ac:dyDescent="0.3">
      <c r="A111" s="252"/>
      <c r="B111" s="158" t="s">
        <v>537</v>
      </c>
      <c r="C111" s="159" t="b">
        <v>1</v>
      </c>
      <c r="D111" s="160" t="b">
        <v>0</v>
      </c>
      <c r="E111" s="87" t="s">
        <v>541</v>
      </c>
      <c r="F111" s="87" t="s">
        <v>545</v>
      </c>
    </row>
  </sheetData>
  <mergeCells count="20">
    <mergeCell ref="A63:A67"/>
    <mergeCell ref="A3:A7"/>
    <mergeCell ref="A8:A12"/>
    <mergeCell ref="A14:A18"/>
    <mergeCell ref="A19:A23"/>
    <mergeCell ref="A25:A29"/>
    <mergeCell ref="A30:A34"/>
    <mergeCell ref="A36:A40"/>
    <mergeCell ref="A41:A45"/>
    <mergeCell ref="A47:A51"/>
    <mergeCell ref="A52:A56"/>
    <mergeCell ref="A58:A62"/>
    <mergeCell ref="A102:A106"/>
    <mergeCell ref="A107:A111"/>
    <mergeCell ref="A69:A73"/>
    <mergeCell ref="A74:A78"/>
    <mergeCell ref="A80:A84"/>
    <mergeCell ref="A85:A89"/>
    <mergeCell ref="A91:A95"/>
    <mergeCell ref="A96:A100"/>
  </mergeCells>
  <pageMargins left="0.7" right="0.7" top="0.75" bottom="0.75" header="0.3" footer="0.3"/>
  <pageSetup paperSize="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DF36-C956-4A2D-A8A9-19AAEF148EC7}">
  <dimension ref="A1:L29"/>
  <sheetViews>
    <sheetView workbookViewId="0">
      <selection activeCell="Q11" sqref="Q11"/>
    </sheetView>
  </sheetViews>
  <sheetFormatPr defaultColWidth="9.140625" defaultRowHeight="15" x14ac:dyDescent="0.25"/>
  <cols>
    <col min="1" max="1" width="9.140625" style="90" customWidth="1"/>
    <col min="2" max="2" width="9.5703125" style="90" customWidth="1"/>
    <col min="3" max="4" width="9.140625" style="90" customWidth="1"/>
    <col min="5" max="5" width="16.140625" style="90" customWidth="1"/>
    <col min="6" max="12" width="15.7109375" style="90" customWidth="1"/>
    <col min="13" max="16384" width="9.140625" style="90"/>
  </cols>
  <sheetData>
    <row r="1" spans="1:12" ht="15" customHeight="1" thickBot="1" x14ac:dyDescent="0.3">
      <c r="A1" s="94"/>
      <c r="B1" s="129" t="s">
        <v>255</v>
      </c>
      <c r="C1" s="130" t="s">
        <v>254</v>
      </c>
    </row>
    <row r="2" spans="1:12" ht="50.1" customHeight="1" thickBot="1" x14ac:dyDescent="0.3">
      <c r="A2" s="131" t="s">
        <v>0</v>
      </c>
      <c r="B2" s="208">
        <f>COUNTIF(DVA_Spørgsmål!C3:C7,TRUE)</f>
        <v>2</v>
      </c>
      <c r="C2" s="209">
        <f>COUNTIF(DVA_Spørgsmål!C8:C12,TRUE)</f>
        <v>1</v>
      </c>
      <c r="E2" s="258" t="s">
        <v>260</v>
      </c>
      <c r="F2" s="91" t="s">
        <v>583</v>
      </c>
      <c r="G2" s="134" t="str" cm="1">
        <f t="array" ref="G2">_xlfn.TEXTJOIN(" ", TRUE, _xlfn._xlws.FILTER($A$2:$A$11, ($B$2:$B$11=0)*($C$2:$C$11=5),""))</f>
        <v/>
      </c>
      <c r="H2" s="205" t="str" cm="1">
        <f t="array" ref="H2">_xlfn.TEXTJOIN(" ", TRUE, _xlfn._xlws.FILTER($A$2:$A$11, ($B$2:$B$11=1)*($C$2:$C$11=5),""))</f>
        <v/>
      </c>
      <c r="I2" s="135" t="str" cm="1">
        <f t="array" ref="I2">_xlfn.TEXTJOIN(" ", TRUE, _xlfn._xlws.FILTER($A$2:$A$11, ($B$2:$B$11=2)*($C$2:$C$11=5),""))</f>
        <v/>
      </c>
      <c r="J2" s="135" t="str" cm="1">
        <f t="array" ref="J2">_xlfn.TEXTJOIN(" ", TRUE, _xlfn._xlws.FILTER($A$2:$A$11, ($B$2:$B$11=3)*($C$2:$C$11=5),""))</f>
        <v/>
      </c>
      <c r="K2" s="135" t="str" cm="1">
        <f t="array" ref="K2">_xlfn.TEXTJOIN(" ", TRUE, _xlfn._xlws.FILTER($A$2:$A$11, ($B$2:$B$11=4)*($C$2:$C$11=5),""))</f>
        <v/>
      </c>
      <c r="L2" s="136" t="str" cm="1">
        <f t="array" ref="L2">_xlfn.TEXTJOIN(" ", TRUE, _xlfn._xlws.FILTER($A$2:$A$11, ($B$2:$B$11=5)*($C$2:$C$11=5),""))</f>
        <v/>
      </c>
    </row>
    <row r="3" spans="1:12" ht="50.1" customHeight="1" thickBot="1" x14ac:dyDescent="0.3">
      <c r="A3" s="131" t="s">
        <v>1</v>
      </c>
      <c r="B3" s="208">
        <f>COUNTIF(DVA_Spørgsmål!C14:C18,TRUE)</f>
        <v>1</v>
      </c>
      <c r="C3" s="209">
        <f>COUNTIF(DVA_Spørgsmål!C19:C23,TRUE)</f>
        <v>0</v>
      </c>
      <c r="E3" s="258"/>
      <c r="F3" s="91" t="s">
        <v>584</v>
      </c>
      <c r="G3" s="137" t="str" cm="1">
        <f t="array" ref="G3">_xlfn.TEXTJOIN(" ", TRUE, _xlfn._xlws.FILTER($A$2:$A$11, ($B$2:$B$11=0)*($C$2:$C$11=4),""))</f>
        <v/>
      </c>
      <c r="H3" s="138" t="str" cm="1">
        <f t="array" ref="H3">_xlfn.TEXTJOIN(" ", TRUE, _xlfn._xlws.FILTER($A$2:$A$11, ($B$2:$B$11=1)*($C$2:$C$11=4),""))</f>
        <v/>
      </c>
      <c r="I3" s="138" t="str" cm="1">
        <f t="array" ref="I3">_xlfn.TEXTJOIN(" ", TRUE, _xlfn._xlws.FILTER($A$2:$A$11, ($B$2:$B$11=2)*($C$2:$C$11=4),""))</f>
        <v/>
      </c>
      <c r="J3" s="139" t="str" cm="1">
        <f t="array" ref="J3">_xlfn.TEXTJOIN(" ", TRUE, _xlfn._xlws.FILTER($A$2:$A$11, ($B$2:$B$11=3)*($C$2:$C$11=4),""))</f>
        <v/>
      </c>
      <c r="K3" s="139" t="str" cm="1">
        <f t="array" ref="K3">_xlfn.TEXTJOIN(" ", TRUE, _xlfn._xlws.FILTER($A$2:$A$11, ($B$2:$B$11=4)*($C$2:$C$11=4),""))</f>
        <v>S4</v>
      </c>
      <c r="L3" s="140" t="str" cm="1">
        <f t="array" ref="L3">_xlfn.TEXTJOIN(" ", TRUE, _xlfn._xlws.FILTER($A$2:$A$11, ($B$2:$B$11=5)*($C$2:$C$11=4),""))</f>
        <v/>
      </c>
    </row>
    <row r="4" spans="1:12" ht="50.1" customHeight="1" thickBot="1" x14ac:dyDescent="0.3">
      <c r="A4" s="131" t="s">
        <v>5</v>
      </c>
      <c r="B4" s="208">
        <f>COUNTIF(DVA_Spørgsmål!C25:C29,TRUE)</f>
        <v>1</v>
      </c>
      <c r="C4" s="209">
        <f>COUNTIF(DVA_Spørgsmål!C30:C34,TRUE)</f>
        <v>1</v>
      </c>
      <c r="E4" s="258"/>
      <c r="F4" s="91" t="s">
        <v>579</v>
      </c>
      <c r="G4" s="137" t="str" cm="1">
        <f t="array" ref="G4">_xlfn.TEXTJOIN(" ", TRUE, _xlfn._xlws.FILTER($A$2:$A$11, ($B$2:$B$11=0)*($C$2:$C$11=3),""))</f>
        <v/>
      </c>
      <c r="H4" s="138" t="str" cm="1">
        <f t="array" ref="H4">_xlfn.TEXTJOIN(" ", TRUE, _xlfn._xlws.FILTER($A$2:$A$11, ($B$2:$B$11=1)*($C$2:$C$11=3),""))</f>
        <v/>
      </c>
      <c r="I4" s="138" t="str" cm="1">
        <f t="array" ref="I4">_xlfn.TEXTJOIN(" ", TRUE, _xlfn._xlws.FILTER($A$2:$A$11, ($B$2:$B$11=2)*($C$2:$C$11=3),""))</f>
        <v/>
      </c>
      <c r="J4" s="138" t="str" cm="1">
        <f t="array" ref="J4">_xlfn.TEXTJOIN(" ", TRUE, _xlfn._xlws.FILTER($A$2:$A$11, ($B$2:$B$11=3)*($C$2:$C$11=3),""))</f>
        <v>S3</v>
      </c>
      <c r="K4" s="139" t="str" cm="1">
        <f t="array" ref="K4">_xlfn.TEXTJOIN(" ", TRUE, _xlfn._xlws.FILTER($A$2:$A$11, ($B$2:$B$11=4)*($C$2:$C$11=3),""))</f>
        <v>S1</v>
      </c>
      <c r="L4" s="140" t="str" cm="1">
        <f t="array" ref="L4">_xlfn.TEXTJOIN(" ", TRUE, _xlfn._xlws.FILTER($A$2:$A$11, ($B$2:$B$11=5)*($C$2:$C$11=3),""))</f>
        <v>E5</v>
      </c>
    </row>
    <row r="5" spans="1:12" ht="50.1" customHeight="1" thickBot="1" x14ac:dyDescent="0.3">
      <c r="A5" s="131" t="s">
        <v>6</v>
      </c>
      <c r="B5" s="208">
        <f>COUNTIF(DVA_Spørgsmål!C36:C40,TRUE)</f>
        <v>3</v>
      </c>
      <c r="C5" s="209">
        <f>COUNTIF(DVA_Spørgsmål!C41:C45,TRUE)</f>
        <v>1</v>
      </c>
      <c r="E5" s="258"/>
      <c r="F5" s="91" t="s">
        <v>582</v>
      </c>
      <c r="G5" s="141" t="str" cm="1">
        <f t="array" ref="G5">_xlfn.TEXTJOIN(" ", TRUE, _xlfn._xlws.FILTER($A$2:$A$11, ($B$2:$B$11=0)*($C$2:$C$11=2),""))</f>
        <v/>
      </c>
      <c r="H5" s="138" t="str" cm="1">
        <f t="array" ref="H5">_xlfn.TEXTJOIN(" ", TRUE, _xlfn._xlws.FILTER($A$2:$A$11, ($B$2:$B$11=1)*($C$2:$C$11=2),""))</f>
        <v/>
      </c>
      <c r="I5" s="138" t="str" cm="1">
        <f t="array" ref="I5">_xlfn.TEXTJOIN(" ", TRUE, _xlfn._xlws.FILTER($A$2:$A$11, ($B$2:$B$11=2)*($C$2:$C$11=2),""))</f>
        <v/>
      </c>
      <c r="J5" s="138" t="str" cm="1">
        <f t="array" ref="J5">_xlfn.TEXTJOIN(" ", TRUE, _xlfn._xlws.FILTER($A$2:$A$11, ($B$2:$B$11=3)*($C$2:$C$11=2),""))</f>
        <v>G1</v>
      </c>
      <c r="K5" s="138" t="str" cm="1">
        <f t="array" ref="K5">_xlfn.TEXTJOIN(" ", TRUE, _xlfn._xlws.FILTER($A$2:$A$11, ($B$2:$B$11=4)*($C$2:$C$11=2),""))</f>
        <v>S2</v>
      </c>
      <c r="L5" s="140" t="str" cm="1">
        <f t="array" ref="L5">_xlfn.TEXTJOIN(" ", TRUE, _xlfn._xlws.FILTER($A$2:$A$11, ($B$2:$B$11=5)*($C$2:$C$11=2),""))</f>
        <v/>
      </c>
    </row>
    <row r="6" spans="1:12" ht="50.1" customHeight="1" thickBot="1" x14ac:dyDescent="0.3">
      <c r="A6" s="131" t="s">
        <v>9</v>
      </c>
      <c r="B6" s="208">
        <f>COUNTIF(DVA_Spørgsmål!C47:C51,TRUE)</f>
        <v>5</v>
      </c>
      <c r="C6" s="209">
        <f>COUNTIF(DVA_Spørgsmål!C52:C56,TRUE)</f>
        <v>3</v>
      </c>
      <c r="E6" s="258"/>
      <c r="F6" s="91" t="s">
        <v>578</v>
      </c>
      <c r="G6" s="141" t="str" cm="1">
        <f t="array" ref="G6">_xlfn.TEXTJOIN(" ", TRUE, _xlfn._xlws.FILTER($A$2:$A$11, ($B$2:$B$11=0)*($C$2:$C$11=1),""))</f>
        <v/>
      </c>
      <c r="H6" s="204" t="str" cm="1">
        <f t="array" ref="H6">_xlfn.TEXTJOIN(" ", TRUE, _xlfn._xlws.FILTER($A$2:$A$11, ($B$2:$B$11=1)*($C$2:$C$11=1),""))</f>
        <v>E3</v>
      </c>
      <c r="I6" s="138" t="str" cm="1">
        <f t="array" ref="I6">_xlfn.TEXTJOIN(" ", TRUE, _xlfn._xlws.FILTER($A$2:$A$11, ($B$2:$B$11=2)*($C$2:$C$11=1),""))</f>
        <v>E1</v>
      </c>
      <c r="J6" s="138" t="str" cm="1">
        <f t="array" ref="J6">_xlfn.TEXTJOIN(" ", TRUE, _xlfn._xlws.FILTER($A$2:$A$11, ($B$2:$B$11=3)*($C$2:$C$11=1),""))</f>
        <v>E4</v>
      </c>
      <c r="K6" s="138" t="str" cm="1">
        <f t="array" ref="K6">_xlfn.TEXTJOIN(" ", TRUE, _xlfn._xlws.FILTER($A$2:$A$11, ($B$2:$B$11=4)*($C$2:$C$11=1),""))</f>
        <v/>
      </c>
      <c r="L6" s="206" t="str" cm="1">
        <f t="array" ref="L6">_xlfn.TEXTJOIN(" ", TRUE, _xlfn._xlws.FILTER($A$2:$A$11, ($B$2:$B$11=5)*($C$2:$C$11=1),""))</f>
        <v/>
      </c>
    </row>
    <row r="7" spans="1:12" ht="50.1" customHeight="1" thickBot="1" x14ac:dyDescent="0.3">
      <c r="A7" s="132" t="s">
        <v>13</v>
      </c>
      <c r="B7" s="208">
        <f>COUNTIF(DVA_Spørgsmål!C58:C62,TRUE)</f>
        <v>4</v>
      </c>
      <c r="C7" s="209">
        <f>COUNTIF(DVA_Spørgsmål!C63:C67,TRUE)</f>
        <v>3</v>
      </c>
      <c r="E7" s="258"/>
      <c r="F7" s="91" t="s">
        <v>259</v>
      </c>
      <c r="G7" s="142" t="str" cm="1">
        <f t="array" ref="G7">_xlfn.TEXTJOIN(" ", TRUE, _xlfn._xlws.FILTER($A$2:$A$11, ($B$2:$B$11=0)*($C$2:$C$11=0),""))</f>
        <v/>
      </c>
      <c r="H7" s="143" t="str" cm="1">
        <f t="array" ref="H7">_xlfn.TEXTJOIN(" ", TRUE, _xlfn._xlws.FILTER($A$2:$A$11, ($B$2:$B$11=1)*($C$2:$C$11=0),""))</f>
        <v>E2</v>
      </c>
      <c r="I7" s="143" t="str" cm="1">
        <f t="array" ref="I7">_xlfn.TEXTJOIN(" ", TRUE, _xlfn._xlws.FILTER($A$2:$A$11, ($B$2:$B$11=2)*($C$2:$C$11=0),""))</f>
        <v/>
      </c>
      <c r="J7" s="144" t="str" cm="1">
        <f t="array" ref="J7">_xlfn.TEXTJOIN(" ", TRUE, _xlfn._xlws.FILTER($A$2:$A$11, ($B$2:$B$11=3)*($C$2:$C$11=0),""))</f>
        <v/>
      </c>
      <c r="K7" s="144" t="str" cm="1">
        <f t="array" ref="K7">_xlfn.TEXTJOIN(" ", TRUE, _xlfn._xlws.FILTER($A$2:$A$11, ($B$2:$B$11=4)*($C$2:$C$11=0),""))</f>
        <v/>
      </c>
      <c r="L7" s="145" t="str" cm="1">
        <f t="array" ref="L7">_xlfn.TEXTJOIN(" ", TRUE, _xlfn._xlws.FILTER($A$2:$A$11, ($B$2:$B$11=5)*($C$2:$C$11=0),""))</f>
        <v/>
      </c>
    </row>
    <row r="8" spans="1:12" ht="50.1" customHeight="1" thickBot="1" x14ac:dyDescent="0.3">
      <c r="A8" s="132" t="s">
        <v>14</v>
      </c>
      <c r="B8" s="208">
        <f>COUNTIF(DVA_Spørgsmål!C69:C73,TRUE)</f>
        <v>4</v>
      </c>
      <c r="C8" s="209">
        <f>COUNTIF(DVA_Spørgsmål!C74:C78,TRUE)</f>
        <v>2</v>
      </c>
      <c r="F8" s="92"/>
      <c r="G8" s="93" t="s">
        <v>259</v>
      </c>
      <c r="H8" s="93" t="s">
        <v>578</v>
      </c>
      <c r="I8" s="93" t="s">
        <v>582</v>
      </c>
      <c r="J8" s="93" t="s">
        <v>579</v>
      </c>
      <c r="K8" s="93" t="s">
        <v>580</v>
      </c>
      <c r="L8" s="93" t="s">
        <v>581</v>
      </c>
    </row>
    <row r="9" spans="1:12" ht="50.1" customHeight="1" thickBot="1" x14ac:dyDescent="0.3">
      <c r="A9" s="132" t="s">
        <v>17</v>
      </c>
      <c r="B9" s="208">
        <f>COUNTIF(DVA_Spørgsmål!C80:C84,TRUE)</f>
        <v>3</v>
      </c>
      <c r="C9" s="209">
        <f>COUNTIF(DVA_Spørgsmål!C85:C89,TRUE)</f>
        <v>3</v>
      </c>
      <c r="G9" s="257" t="s">
        <v>261</v>
      </c>
      <c r="H9" s="257"/>
      <c r="I9" s="257"/>
      <c r="J9" s="257"/>
      <c r="K9" s="257"/>
      <c r="L9" s="257"/>
    </row>
    <row r="10" spans="1:12" ht="50.1" customHeight="1" thickBot="1" x14ac:dyDescent="0.3">
      <c r="A10" s="132" t="s">
        <v>19</v>
      </c>
      <c r="B10" s="208">
        <f>COUNTIF(DVA_Spørgsmål!C91:C95,TRUE)</f>
        <v>4</v>
      </c>
      <c r="C10" s="209">
        <f>COUNTIF(DVA_Spørgsmål!C96:C100,TRUE)</f>
        <v>4</v>
      </c>
    </row>
    <row r="11" spans="1:12" ht="50.1" customHeight="1" thickBot="1" x14ac:dyDescent="0.3">
      <c r="A11" s="133" t="s">
        <v>21</v>
      </c>
      <c r="B11" s="208">
        <f>COUNTIF(DVA_Spørgsmål!C102:C106,TRUE)</f>
        <v>3</v>
      </c>
      <c r="C11" s="209">
        <f>COUNTIF(DVA_Spørgsmål!C107:C111,TRUE)</f>
        <v>2</v>
      </c>
    </row>
    <row r="12" spans="1:12" ht="15" customHeight="1" x14ac:dyDescent="0.25"/>
    <row r="13" spans="1:12" ht="15" customHeight="1" x14ac:dyDescent="0.25"/>
    <row r="14" spans="1:12" ht="15" customHeight="1" x14ac:dyDescent="0.25"/>
    <row r="15" spans="1:12" ht="15" customHeight="1" x14ac:dyDescent="0.25"/>
    <row r="16" spans="1:12" ht="15" customHeight="1" x14ac:dyDescent="0.25"/>
    <row r="17" spans="4:4" ht="15" customHeight="1" x14ac:dyDescent="0.25"/>
    <row r="18" spans="4:4" ht="15" customHeight="1" x14ac:dyDescent="0.25"/>
    <row r="19" spans="4:4" ht="15" customHeight="1" x14ac:dyDescent="0.25"/>
    <row r="20" spans="4:4" ht="15" customHeight="1" x14ac:dyDescent="0.25"/>
    <row r="21" spans="4:4" ht="15" customHeight="1" x14ac:dyDescent="0.25"/>
    <row r="22" spans="4:4" ht="15" customHeight="1" x14ac:dyDescent="0.25"/>
    <row r="23" spans="4:4" ht="15" customHeight="1" x14ac:dyDescent="0.25"/>
    <row r="29" spans="4:4" x14ac:dyDescent="0.25">
      <c r="D29" s="90" t="str" cm="1">
        <f t="array" ref="D29">_xlfn.TEXTJOIN(" ",,IF(AND(B2:B11=0,C2:C11=0),A2:A11,E29))</f>
        <v/>
      </c>
    </row>
  </sheetData>
  <mergeCells count="2">
    <mergeCell ref="G9:L9"/>
    <mergeCell ref="E2: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9EE2-4EDC-42E5-A09C-4EE4D28EF639}">
  <sheetPr codeName="Ark2">
    <outlinePr summaryBelow="0"/>
  </sheetPr>
  <dimension ref="A1:U209"/>
  <sheetViews>
    <sheetView tabSelected="1" zoomScaleNormal="100" workbookViewId="0">
      <pane ySplit="1" topLeftCell="A2" activePane="bottomLeft" state="frozen"/>
      <selection pane="bottomLeft" activeCell="D166" sqref="D166"/>
    </sheetView>
  </sheetViews>
  <sheetFormatPr defaultColWidth="9.140625" defaultRowHeight="15" outlineLevelRow="1" x14ac:dyDescent="0.25"/>
  <cols>
    <col min="1" max="3" width="6.7109375" style="90" customWidth="1"/>
    <col min="4" max="4" width="50.7109375" style="90" customWidth="1"/>
    <col min="5" max="5" width="6.7109375" style="161" customWidth="1"/>
    <col min="6" max="8" width="6.7109375" style="168" customWidth="1"/>
    <col min="9" max="10" width="6.7109375" style="161" customWidth="1"/>
    <col min="11" max="11" width="6.7109375" style="172" customWidth="1"/>
    <col min="12" max="12" width="26.140625" style="202" customWidth="1"/>
    <col min="13" max="13" width="100.7109375" style="172" customWidth="1"/>
    <col min="14" max="16384" width="9.140625" style="90"/>
  </cols>
  <sheetData>
    <row r="1" spans="1:21" ht="87" customHeight="1" thickBot="1" x14ac:dyDescent="0.3">
      <c r="A1" s="146" t="s">
        <v>22</v>
      </c>
      <c r="B1" s="286" t="s">
        <v>23</v>
      </c>
      <c r="C1" s="287"/>
      <c r="D1" s="288"/>
      <c r="E1" s="147" t="s">
        <v>26</v>
      </c>
      <c r="F1" s="147" t="s">
        <v>140</v>
      </c>
      <c r="G1" s="147" t="s">
        <v>77</v>
      </c>
      <c r="H1" s="148" t="s">
        <v>142</v>
      </c>
      <c r="I1" s="149" t="s">
        <v>29</v>
      </c>
      <c r="J1" s="148" t="s">
        <v>143</v>
      </c>
      <c r="K1" s="150" t="s">
        <v>144</v>
      </c>
      <c r="L1" s="196" t="s">
        <v>264</v>
      </c>
      <c r="M1" s="151" t="s">
        <v>141</v>
      </c>
    </row>
    <row r="2" spans="1:21" x14ac:dyDescent="0.25">
      <c r="A2" s="31" t="s">
        <v>0</v>
      </c>
      <c r="B2" s="291" t="s">
        <v>3</v>
      </c>
      <c r="C2" s="292"/>
      <c r="D2" s="292"/>
      <c r="E2" s="292"/>
      <c r="F2" s="293"/>
      <c r="G2" s="39">
        <f>SUM(G4:G25)</f>
        <v>100</v>
      </c>
      <c r="H2" s="57">
        <v>100</v>
      </c>
      <c r="I2" s="66">
        <f>G2*J2/100</f>
        <v>5</v>
      </c>
      <c r="J2" s="59">
        <f>Forside!C2/SUM(Forside!C2:C6)*Matrix!K2*100</f>
        <v>5</v>
      </c>
      <c r="K2" s="275">
        <v>0.4</v>
      </c>
      <c r="L2" s="197"/>
      <c r="M2" s="80"/>
    </row>
    <row r="3" spans="1:21" outlineLevel="1" x14ac:dyDescent="0.25">
      <c r="A3" s="21"/>
      <c r="B3" s="3" t="s">
        <v>2</v>
      </c>
      <c r="C3" s="289" t="s">
        <v>27</v>
      </c>
      <c r="D3" s="290"/>
      <c r="E3" s="232"/>
      <c r="F3" s="37"/>
      <c r="G3" s="5"/>
      <c r="H3" s="22"/>
      <c r="I3" s="67"/>
      <c r="J3" s="52"/>
      <c r="K3" s="276"/>
      <c r="L3" s="198"/>
      <c r="M3" s="50"/>
    </row>
    <row r="4" spans="1:21" ht="30" customHeight="1" outlineLevel="1" x14ac:dyDescent="0.25">
      <c r="A4" s="21"/>
      <c r="B4" s="4"/>
      <c r="C4" s="9" t="s">
        <v>45</v>
      </c>
      <c r="D4" s="8" t="s">
        <v>44</v>
      </c>
      <c r="E4" s="58">
        <v>10</v>
      </c>
      <c r="F4" s="43" t="b">
        <v>1</v>
      </c>
      <c r="G4" s="264">
        <f>SUMIF(F4:F8,TRUE,E4:E8)</f>
        <v>35</v>
      </c>
      <c r="H4" s="265">
        <v>35</v>
      </c>
      <c r="I4" s="42">
        <f>IF(F4=TRUE,E4*$J$2,0)/100</f>
        <v>0.5</v>
      </c>
      <c r="J4" s="52"/>
      <c r="K4" s="276"/>
      <c r="L4" s="198" t="s">
        <v>263</v>
      </c>
      <c r="M4" s="50"/>
    </row>
    <row r="5" spans="1:21" ht="30" customHeight="1" outlineLevel="1" x14ac:dyDescent="0.25">
      <c r="A5" s="21"/>
      <c r="B5" s="4"/>
      <c r="C5" s="9" t="s">
        <v>49</v>
      </c>
      <c r="D5" s="8" t="s">
        <v>47</v>
      </c>
      <c r="E5" s="58">
        <v>5</v>
      </c>
      <c r="F5" s="43" t="b">
        <v>1</v>
      </c>
      <c r="G5" s="264"/>
      <c r="H5" s="265"/>
      <c r="I5" s="42">
        <f t="shared" ref="I5:I8" si="0">IF(F5=TRUE,E5*$J$2,0)/100</f>
        <v>0.25</v>
      </c>
      <c r="J5" s="52"/>
      <c r="K5" s="276"/>
      <c r="L5" s="198" t="s">
        <v>265</v>
      </c>
      <c r="M5" s="50"/>
    </row>
    <row r="6" spans="1:21" ht="30" customHeight="1" outlineLevel="1" x14ac:dyDescent="0.25">
      <c r="A6" s="21"/>
      <c r="B6" s="4"/>
      <c r="C6" s="9" t="s">
        <v>50</v>
      </c>
      <c r="D6" s="8" t="s">
        <v>46</v>
      </c>
      <c r="E6" s="58">
        <v>5</v>
      </c>
      <c r="F6" s="43" t="b">
        <v>1</v>
      </c>
      <c r="G6" s="264"/>
      <c r="H6" s="265"/>
      <c r="I6" s="42">
        <f t="shared" si="0"/>
        <v>0.25</v>
      </c>
      <c r="J6" s="52"/>
      <c r="K6" s="276"/>
      <c r="L6" s="198" t="s">
        <v>270</v>
      </c>
      <c r="M6" s="50"/>
    </row>
    <row r="7" spans="1:21" ht="30" customHeight="1" outlineLevel="1" x14ac:dyDescent="0.25">
      <c r="A7" s="21"/>
      <c r="B7" s="4"/>
      <c r="C7" s="9" t="s">
        <v>51</v>
      </c>
      <c r="D7" s="8" t="s">
        <v>48</v>
      </c>
      <c r="E7" s="58">
        <v>5</v>
      </c>
      <c r="F7" s="43" t="b">
        <v>1</v>
      </c>
      <c r="G7" s="264"/>
      <c r="H7" s="265"/>
      <c r="I7" s="42">
        <f t="shared" si="0"/>
        <v>0.25</v>
      </c>
      <c r="J7" s="52"/>
      <c r="K7" s="276"/>
      <c r="L7" s="198" t="s">
        <v>269</v>
      </c>
      <c r="M7" s="50"/>
    </row>
    <row r="8" spans="1:21" ht="30" customHeight="1" outlineLevel="1" x14ac:dyDescent="0.25">
      <c r="A8" s="21"/>
      <c r="B8" s="4"/>
      <c r="C8" s="9" t="s">
        <v>52</v>
      </c>
      <c r="D8" s="7" t="s">
        <v>266</v>
      </c>
      <c r="E8" s="233">
        <v>10</v>
      </c>
      <c r="F8" s="44" t="b">
        <v>1</v>
      </c>
      <c r="G8" s="264"/>
      <c r="H8" s="265"/>
      <c r="I8" s="42">
        <f t="shared" si="0"/>
        <v>0.5</v>
      </c>
      <c r="J8" s="52"/>
      <c r="K8" s="276"/>
      <c r="L8" s="198" t="s">
        <v>268</v>
      </c>
      <c r="M8" s="50"/>
      <c r="U8" s="174"/>
    </row>
    <row r="9" spans="1:21" outlineLevel="1" x14ac:dyDescent="0.25">
      <c r="A9" s="21"/>
      <c r="B9" s="3" t="s">
        <v>65</v>
      </c>
      <c r="C9" s="262" t="s">
        <v>3064</v>
      </c>
      <c r="D9" s="263"/>
      <c r="E9" s="234"/>
      <c r="F9" s="5"/>
      <c r="G9" s="5"/>
      <c r="H9" s="22"/>
      <c r="I9" s="67"/>
      <c r="J9" s="52"/>
      <c r="K9" s="276"/>
      <c r="L9" s="198"/>
      <c r="M9" s="50"/>
    </row>
    <row r="10" spans="1:21" ht="45" customHeight="1" outlineLevel="1" x14ac:dyDescent="0.25">
      <c r="A10" s="21"/>
      <c r="B10" s="4"/>
      <c r="C10" s="9" t="s">
        <v>69</v>
      </c>
      <c r="D10" s="7" t="s">
        <v>3060</v>
      </c>
      <c r="E10" s="233">
        <v>10</v>
      </c>
      <c r="F10" s="47" t="b">
        <v>1</v>
      </c>
      <c r="G10" s="266">
        <f>SUMIF(F10:F14,TRUE,E10:E14)</f>
        <v>35</v>
      </c>
      <c r="H10" s="259">
        <v>35</v>
      </c>
      <c r="I10" s="42">
        <f>IF(F10=TRUE,E10*$J$2,0)/100</f>
        <v>0.5</v>
      </c>
      <c r="J10" s="52"/>
      <c r="K10" s="276"/>
      <c r="L10" s="198" t="s">
        <v>267</v>
      </c>
      <c r="M10" s="50"/>
    </row>
    <row r="11" spans="1:21" ht="30" customHeight="1" outlineLevel="1" x14ac:dyDescent="0.25">
      <c r="A11" s="21"/>
      <c r="B11" s="4"/>
      <c r="C11" s="9" t="s">
        <v>70</v>
      </c>
      <c r="D11" s="7" t="s">
        <v>55</v>
      </c>
      <c r="E11" s="233">
        <v>5</v>
      </c>
      <c r="F11" s="47" t="b">
        <v>1</v>
      </c>
      <c r="G11" s="267"/>
      <c r="H11" s="260"/>
      <c r="I11" s="42">
        <f t="shared" ref="I11:I14" si="1">IF(F11=TRUE,E11*$J$2,0)/100</f>
        <v>0.25</v>
      </c>
      <c r="J11" s="52"/>
      <c r="K11" s="276"/>
      <c r="L11" s="198" t="s">
        <v>270</v>
      </c>
      <c r="M11" s="50"/>
    </row>
    <row r="12" spans="1:21" ht="45" customHeight="1" outlineLevel="1" x14ac:dyDescent="0.25">
      <c r="A12" s="21"/>
      <c r="B12" s="4"/>
      <c r="C12" s="9" t="s">
        <v>71</v>
      </c>
      <c r="D12" s="7" t="s">
        <v>54</v>
      </c>
      <c r="E12" s="233">
        <v>5</v>
      </c>
      <c r="F12" s="47" t="b">
        <v>1</v>
      </c>
      <c r="G12" s="267"/>
      <c r="H12" s="260"/>
      <c r="I12" s="42">
        <f t="shared" si="1"/>
        <v>0.25</v>
      </c>
      <c r="J12" s="52"/>
      <c r="K12" s="276"/>
      <c r="L12" s="198" t="s">
        <v>269</v>
      </c>
      <c r="M12" s="50"/>
    </row>
    <row r="13" spans="1:21" ht="30" customHeight="1" outlineLevel="1" x14ac:dyDescent="0.25">
      <c r="A13" s="21"/>
      <c r="B13" s="4"/>
      <c r="C13" s="9" t="s">
        <v>76</v>
      </c>
      <c r="D13" s="7" t="s">
        <v>53</v>
      </c>
      <c r="E13" s="233">
        <v>10</v>
      </c>
      <c r="F13" s="47" t="b">
        <v>1</v>
      </c>
      <c r="G13" s="267"/>
      <c r="H13" s="260"/>
      <c r="I13" s="42">
        <f t="shared" si="1"/>
        <v>0.5</v>
      </c>
      <c r="J13" s="52"/>
      <c r="K13" s="276"/>
      <c r="L13" s="198" t="s">
        <v>268</v>
      </c>
      <c r="M13" s="50"/>
    </row>
    <row r="14" spans="1:21" ht="30" customHeight="1" outlineLevel="1" x14ac:dyDescent="0.25">
      <c r="A14" s="21"/>
      <c r="B14" s="4"/>
      <c r="C14" s="9" t="s">
        <v>3061</v>
      </c>
      <c r="D14" s="7" t="s">
        <v>3062</v>
      </c>
      <c r="E14" s="233">
        <v>5</v>
      </c>
      <c r="F14" s="47" t="b">
        <v>1</v>
      </c>
      <c r="G14" s="268"/>
      <c r="H14" s="261"/>
      <c r="I14" s="42">
        <f t="shared" si="1"/>
        <v>0.25</v>
      </c>
      <c r="J14" s="52"/>
      <c r="K14" s="276"/>
      <c r="L14" s="198"/>
      <c r="M14" s="50"/>
    </row>
    <row r="15" spans="1:21" outlineLevel="1" x14ac:dyDescent="0.25">
      <c r="A15" s="21"/>
      <c r="B15" s="3" t="s">
        <v>66</v>
      </c>
      <c r="C15" s="262" t="s">
        <v>3063</v>
      </c>
      <c r="D15" s="263"/>
      <c r="E15" s="234"/>
      <c r="F15" s="5"/>
      <c r="G15" s="5"/>
      <c r="H15" s="22"/>
      <c r="I15" s="67"/>
      <c r="J15" s="52"/>
      <c r="K15" s="276"/>
      <c r="L15" s="198"/>
      <c r="M15" s="50"/>
    </row>
    <row r="16" spans="1:21" ht="45" customHeight="1" outlineLevel="1" x14ac:dyDescent="0.25">
      <c r="A16" s="21"/>
      <c r="B16" s="4"/>
      <c r="C16" s="9" t="s">
        <v>72</v>
      </c>
      <c r="D16" s="7" t="s">
        <v>3067</v>
      </c>
      <c r="E16" s="233">
        <v>2.5</v>
      </c>
      <c r="F16" s="47" t="b">
        <v>1</v>
      </c>
      <c r="G16" s="266">
        <f>SUMIF(F16:F19,TRUE,E16:E19)</f>
        <v>15</v>
      </c>
      <c r="H16" s="259">
        <v>15</v>
      </c>
      <c r="I16" s="42">
        <f>IF(F16=TRUE,E16*$J$2,0)/100</f>
        <v>0.125</v>
      </c>
      <c r="J16" s="52"/>
      <c r="K16" s="276"/>
      <c r="L16" s="198"/>
      <c r="M16" s="50"/>
    </row>
    <row r="17" spans="1:13" ht="30" customHeight="1" outlineLevel="1" x14ac:dyDescent="0.25">
      <c r="A17" s="21"/>
      <c r="B17" s="4"/>
      <c r="C17" s="9" t="s">
        <v>73</v>
      </c>
      <c r="D17" s="7" t="s">
        <v>3068</v>
      </c>
      <c r="E17" s="233">
        <v>2.5</v>
      </c>
      <c r="F17" s="47" t="b">
        <v>1</v>
      </c>
      <c r="G17" s="267"/>
      <c r="H17" s="260"/>
      <c r="I17" s="42">
        <f t="shared" ref="I17:I19" si="2">IF(F17=TRUE,E17*$J$2,0)/100</f>
        <v>0.125</v>
      </c>
      <c r="J17" s="52"/>
      <c r="K17" s="276"/>
      <c r="L17" s="198"/>
      <c r="M17" s="50"/>
    </row>
    <row r="18" spans="1:13" ht="45" customHeight="1" outlineLevel="1" x14ac:dyDescent="0.25">
      <c r="A18" s="21"/>
      <c r="B18" s="4"/>
      <c r="C18" s="9" t="s">
        <v>74</v>
      </c>
      <c r="D18" s="7" t="s">
        <v>3069</v>
      </c>
      <c r="E18" s="233">
        <v>5</v>
      </c>
      <c r="F18" s="47" t="b">
        <v>1</v>
      </c>
      <c r="G18" s="267"/>
      <c r="H18" s="260"/>
      <c r="I18" s="42">
        <f t="shared" si="2"/>
        <v>0.25</v>
      </c>
      <c r="J18" s="52"/>
      <c r="K18" s="276"/>
      <c r="L18" s="198"/>
      <c r="M18" s="50"/>
    </row>
    <row r="19" spans="1:13" ht="30" customHeight="1" outlineLevel="1" x14ac:dyDescent="0.25">
      <c r="A19" s="21"/>
      <c r="B19" s="4"/>
      <c r="C19" s="9" t="s">
        <v>75</v>
      </c>
      <c r="D19" s="7" t="s">
        <v>3070</v>
      </c>
      <c r="E19" s="233">
        <v>5</v>
      </c>
      <c r="F19" s="47" t="b">
        <v>1</v>
      </c>
      <c r="G19" s="267"/>
      <c r="H19" s="260"/>
      <c r="I19" s="42">
        <f t="shared" si="2"/>
        <v>0.25</v>
      </c>
      <c r="J19" s="52"/>
      <c r="K19" s="276"/>
      <c r="L19" s="198"/>
      <c r="M19" s="50"/>
    </row>
    <row r="20" spans="1:13" outlineLevel="1" x14ac:dyDescent="0.25">
      <c r="A20" s="21"/>
      <c r="B20" s="3" t="s">
        <v>67</v>
      </c>
      <c r="C20" s="294" t="s">
        <v>28</v>
      </c>
      <c r="D20" s="295"/>
      <c r="E20" s="234"/>
      <c r="F20" s="5"/>
      <c r="G20" s="5"/>
      <c r="H20" s="22"/>
      <c r="I20" s="67"/>
      <c r="J20" s="52"/>
      <c r="K20" s="276"/>
      <c r="L20" s="198"/>
      <c r="M20" s="50"/>
    </row>
    <row r="21" spans="1:13" ht="30" customHeight="1" outlineLevel="1" x14ac:dyDescent="0.25">
      <c r="A21" s="21"/>
      <c r="B21" s="4"/>
      <c r="C21" s="9" t="s">
        <v>110</v>
      </c>
      <c r="D21" s="10" t="s">
        <v>272</v>
      </c>
      <c r="E21" s="233">
        <v>5</v>
      </c>
      <c r="F21" s="47" t="b">
        <v>1</v>
      </c>
      <c r="G21" s="266">
        <f>SUMIF(F21:F25,TRUE,E21:E25)</f>
        <v>15</v>
      </c>
      <c r="H21" s="259">
        <v>15</v>
      </c>
      <c r="I21" s="42">
        <f>IF(F21=TRUE,E21*$J$2,0)/100</f>
        <v>0.25</v>
      </c>
      <c r="J21" s="52"/>
      <c r="K21" s="276"/>
      <c r="L21" s="198" t="s">
        <v>271</v>
      </c>
      <c r="M21" s="50"/>
    </row>
    <row r="22" spans="1:13" ht="30" customHeight="1" outlineLevel="1" x14ac:dyDescent="0.25">
      <c r="A22" s="21"/>
      <c r="B22" s="4"/>
      <c r="C22" s="9" t="s">
        <v>111</v>
      </c>
      <c r="D22" s="10" t="s">
        <v>60</v>
      </c>
      <c r="E22" s="233">
        <v>2</v>
      </c>
      <c r="F22" s="47" t="b">
        <v>1</v>
      </c>
      <c r="G22" s="267"/>
      <c r="H22" s="260"/>
      <c r="I22" s="42">
        <f t="shared" ref="I22:I25" si="3">IF(F22=TRUE,E22*$J$2,0)/100</f>
        <v>0.1</v>
      </c>
      <c r="J22" s="52"/>
      <c r="K22" s="276"/>
      <c r="L22" s="198" t="s">
        <v>276</v>
      </c>
      <c r="M22" s="50"/>
    </row>
    <row r="23" spans="1:13" ht="30" customHeight="1" outlineLevel="1" x14ac:dyDescent="0.25">
      <c r="A23" s="21"/>
      <c r="B23" s="4"/>
      <c r="C23" s="9" t="s">
        <v>112</v>
      </c>
      <c r="D23" s="10" t="s">
        <v>59</v>
      </c>
      <c r="E23" s="233">
        <v>2</v>
      </c>
      <c r="F23" s="47" t="b">
        <v>1</v>
      </c>
      <c r="G23" s="267"/>
      <c r="H23" s="260"/>
      <c r="I23" s="42">
        <f t="shared" si="3"/>
        <v>0.1</v>
      </c>
      <c r="J23" s="52"/>
      <c r="K23" s="276"/>
      <c r="L23" s="198" t="s">
        <v>275</v>
      </c>
      <c r="M23" s="50"/>
    </row>
    <row r="24" spans="1:13" ht="30" customHeight="1" outlineLevel="1" x14ac:dyDescent="0.25">
      <c r="A24" s="21"/>
      <c r="B24" s="4"/>
      <c r="C24" s="9" t="s">
        <v>3065</v>
      </c>
      <c r="D24" s="10" t="s">
        <v>58</v>
      </c>
      <c r="E24" s="233">
        <v>2</v>
      </c>
      <c r="F24" s="47" t="b">
        <v>1</v>
      </c>
      <c r="G24" s="267"/>
      <c r="H24" s="260"/>
      <c r="I24" s="42">
        <f t="shared" si="3"/>
        <v>0.1</v>
      </c>
      <c r="J24" s="52"/>
      <c r="K24" s="276"/>
      <c r="L24" s="198" t="s">
        <v>274</v>
      </c>
      <c r="M24" s="50"/>
    </row>
    <row r="25" spans="1:13" ht="30" customHeight="1" outlineLevel="1" x14ac:dyDescent="0.25">
      <c r="A25" s="21"/>
      <c r="B25" s="4"/>
      <c r="C25" s="9" t="s">
        <v>3066</v>
      </c>
      <c r="D25" s="10" t="s">
        <v>57</v>
      </c>
      <c r="E25" s="233">
        <v>4</v>
      </c>
      <c r="F25" s="47" t="b">
        <v>1</v>
      </c>
      <c r="G25" s="268"/>
      <c r="H25" s="261"/>
      <c r="I25" s="42">
        <f t="shared" si="3"/>
        <v>0.2</v>
      </c>
      <c r="J25" s="52"/>
      <c r="K25" s="276"/>
      <c r="L25" s="198" t="s">
        <v>273</v>
      </c>
      <c r="M25" s="50"/>
    </row>
    <row r="26" spans="1:13" x14ac:dyDescent="0.25">
      <c r="A26" s="23" t="s">
        <v>1</v>
      </c>
      <c r="B26" s="278" t="s">
        <v>4</v>
      </c>
      <c r="C26" s="279"/>
      <c r="D26" s="279"/>
      <c r="E26" s="279"/>
      <c r="F26" s="280"/>
      <c r="G26" s="38">
        <f>SUM(G27:G50)</f>
        <v>100</v>
      </c>
      <c r="H26" s="60">
        <v>100</v>
      </c>
      <c r="I26" s="68">
        <f>G26*J26/100</f>
        <v>0</v>
      </c>
      <c r="J26" s="61">
        <f>Forside!C3/SUM(Forside!C2:C6)*Matrix!K2*100</f>
        <v>0</v>
      </c>
      <c r="K26" s="276"/>
      <c r="L26" s="198"/>
      <c r="M26" s="50"/>
    </row>
    <row r="27" spans="1:13" ht="15" customHeight="1" outlineLevel="1" x14ac:dyDescent="0.25">
      <c r="A27" s="21"/>
      <c r="B27" s="1" t="s">
        <v>24</v>
      </c>
      <c r="C27" s="262" t="s">
        <v>149</v>
      </c>
      <c r="D27" s="263"/>
      <c r="E27" s="232"/>
      <c r="F27" s="37"/>
      <c r="G27" s="5"/>
      <c r="H27" s="22"/>
      <c r="I27" s="69"/>
      <c r="J27" s="54"/>
      <c r="K27" s="276"/>
      <c r="L27" s="198"/>
      <c r="M27" s="50"/>
    </row>
    <row r="28" spans="1:13" ht="30" customHeight="1" outlineLevel="1" x14ac:dyDescent="0.25">
      <c r="A28" s="21"/>
      <c r="B28" s="4"/>
      <c r="C28" s="9" t="s">
        <v>56</v>
      </c>
      <c r="D28" s="7" t="s">
        <v>153</v>
      </c>
      <c r="E28" s="58">
        <v>15</v>
      </c>
      <c r="F28" s="48" t="b">
        <v>1</v>
      </c>
      <c r="G28" s="264">
        <f>SUMIF(F28:F31,TRUE,E28:E31)</f>
        <v>40</v>
      </c>
      <c r="H28" s="265">
        <v>40</v>
      </c>
      <c r="I28" s="42">
        <f>IF(F28=TRUE,E28*$J$26,0)/100</f>
        <v>0</v>
      </c>
      <c r="J28" s="52"/>
      <c r="K28" s="276"/>
      <c r="L28" s="198" t="s">
        <v>277</v>
      </c>
      <c r="M28" s="50"/>
    </row>
    <row r="29" spans="1:13" ht="30" customHeight="1" outlineLevel="1" x14ac:dyDescent="0.25">
      <c r="A29" s="21"/>
      <c r="B29" s="4"/>
      <c r="C29" s="9" t="s">
        <v>150</v>
      </c>
      <c r="D29" s="7" t="s">
        <v>154</v>
      </c>
      <c r="E29" s="58">
        <v>10</v>
      </c>
      <c r="F29" s="48" t="b">
        <v>1</v>
      </c>
      <c r="G29" s="264"/>
      <c r="H29" s="265"/>
      <c r="I29" s="42">
        <f t="shared" ref="I29:I31" si="4">IF(F29=TRUE,E29*$J$26,0)/100</f>
        <v>0</v>
      </c>
      <c r="J29" s="52"/>
      <c r="K29" s="276"/>
      <c r="L29" s="198" t="s">
        <v>270</v>
      </c>
      <c r="M29" s="50"/>
    </row>
    <row r="30" spans="1:13" ht="30" customHeight="1" outlineLevel="1" x14ac:dyDescent="0.25">
      <c r="A30" s="21"/>
      <c r="B30" s="4"/>
      <c r="C30" s="9" t="s">
        <v>151</v>
      </c>
      <c r="D30" s="7" t="s">
        <v>155</v>
      </c>
      <c r="E30" s="58">
        <v>5</v>
      </c>
      <c r="F30" s="48" t="b">
        <v>1</v>
      </c>
      <c r="G30" s="264"/>
      <c r="H30" s="265"/>
      <c r="I30" s="42">
        <f t="shared" si="4"/>
        <v>0</v>
      </c>
      <c r="J30" s="52"/>
      <c r="K30" s="276"/>
      <c r="L30" s="198" t="s">
        <v>269</v>
      </c>
      <c r="M30" s="50"/>
    </row>
    <row r="31" spans="1:13" ht="30" customHeight="1" outlineLevel="1" x14ac:dyDescent="0.25">
      <c r="A31" s="21"/>
      <c r="B31" s="4"/>
      <c r="C31" s="9" t="s">
        <v>152</v>
      </c>
      <c r="D31" s="7" t="s">
        <v>156</v>
      </c>
      <c r="E31" s="58">
        <v>10</v>
      </c>
      <c r="F31" s="48" t="b">
        <v>1</v>
      </c>
      <c r="G31" s="264"/>
      <c r="H31" s="265"/>
      <c r="I31" s="42">
        <f t="shared" si="4"/>
        <v>0</v>
      </c>
      <c r="J31" s="52"/>
      <c r="K31" s="276"/>
      <c r="L31" s="198" t="s">
        <v>268</v>
      </c>
      <c r="M31" s="50"/>
    </row>
    <row r="32" spans="1:13" ht="15" customHeight="1" outlineLevel="1" x14ac:dyDescent="0.25">
      <c r="A32" s="21"/>
      <c r="B32" s="1" t="s">
        <v>157</v>
      </c>
      <c r="C32" s="262" t="s">
        <v>158</v>
      </c>
      <c r="D32" s="263"/>
      <c r="E32" s="232"/>
      <c r="F32" s="37"/>
      <c r="G32" s="5"/>
      <c r="H32" s="22"/>
      <c r="I32" s="70"/>
      <c r="J32" s="52"/>
      <c r="K32" s="276"/>
      <c r="L32" s="198"/>
      <c r="M32" s="50"/>
    </row>
    <row r="33" spans="1:13" ht="30" customHeight="1" outlineLevel="1" x14ac:dyDescent="0.25">
      <c r="A33" s="21"/>
      <c r="B33" s="4"/>
      <c r="C33" s="9" t="s">
        <v>159</v>
      </c>
      <c r="D33" s="7" t="s">
        <v>163</v>
      </c>
      <c r="E33" s="58">
        <v>2.5</v>
      </c>
      <c r="F33" s="48" t="b">
        <v>1</v>
      </c>
      <c r="G33" s="264">
        <f>SUMIF(F33:F36,TRUE,E33:E36)</f>
        <v>10</v>
      </c>
      <c r="H33" s="265">
        <v>10</v>
      </c>
      <c r="I33" s="42">
        <f>IF(F33=TRUE,E33*$J$26,0)/100</f>
        <v>0</v>
      </c>
      <c r="J33" s="52"/>
      <c r="K33" s="276"/>
      <c r="L33" s="198"/>
      <c r="M33" s="50"/>
    </row>
    <row r="34" spans="1:13" ht="30" customHeight="1" outlineLevel="1" x14ac:dyDescent="0.25">
      <c r="A34" s="21"/>
      <c r="B34" s="4"/>
      <c r="C34" s="9" t="s">
        <v>160</v>
      </c>
      <c r="D34" s="7" t="s">
        <v>164</v>
      </c>
      <c r="E34" s="58">
        <v>2.5</v>
      </c>
      <c r="F34" s="48" t="b">
        <v>1</v>
      </c>
      <c r="G34" s="264"/>
      <c r="H34" s="265"/>
      <c r="I34" s="42">
        <f t="shared" ref="I34:I36" si="5">IF(F34=TRUE,E34*$J$26,0)/100</f>
        <v>0</v>
      </c>
      <c r="J34" s="52"/>
      <c r="K34" s="276"/>
      <c r="L34" s="198"/>
      <c r="M34" s="50"/>
    </row>
    <row r="35" spans="1:13" ht="30" customHeight="1" outlineLevel="1" x14ac:dyDescent="0.25">
      <c r="A35" s="21"/>
      <c r="B35" s="4"/>
      <c r="C35" s="9" t="s">
        <v>161</v>
      </c>
      <c r="D35" s="7" t="s">
        <v>165</v>
      </c>
      <c r="E35" s="58">
        <v>2.5</v>
      </c>
      <c r="F35" s="48" t="b">
        <v>1</v>
      </c>
      <c r="G35" s="264"/>
      <c r="H35" s="265"/>
      <c r="I35" s="42">
        <f t="shared" si="5"/>
        <v>0</v>
      </c>
      <c r="J35" s="52"/>
      <c r="K35" s="276"/>
      <c r="L35" s="198"/>
      <c r="M35" s="50"/>
    </row>
    <row r="36" spans="1:13" ht="30" customHeight="1" outlineLevel="1" x14ac:dyDescent="0.25">
      <c r="A36" s="21"/>
      <c r="B36" s="4"/>
      <c r="C36" s="9" t="s">
        <v>162</v>
      </c>
      <c r="D36" s="7" t="s">
        <v>166</v>
      </c>
      <c r="E36" s="58">
        <v>2.5</v>
      </c>
      <c r="F36" s="48" t="b">
        <v>1</v>
      </c>
      <c r="G36" s="264"/>
      <c r="H36" s="265"/>
      <c r="I36" s="42">
        <f t="shared" si="5"/>
        <v>0</v>
      </c>
      <c r="J36" s="52"/>
      <c r="K36" s="276"/>
      <c r="L36" s="198"/>
      <c r="M36" s="50"/>
    </row>
    <row r="37" spans="1:13" ht="15" customHeight="1" outlineLevel="1" x14ac:dyDescent="0.25">
      <c r="A37" s="21"/>
      <c r="B37" s="1" t="s">
        <v>167</v>
      </c>
      <c r="C37" s="262" t="s">
        <v>168</v>
      </c>
      <c r="D37" s="263"/>
      <c r="E37" s="232"/>
      <c r="F37" s="37"/>
      <c r="G37" s="5"/>
      <c r="H37" s="22"/>
      <c r="I37" s="70"/>
      <c r="J37" s="52"/>
      <c r="K37" s="276"/>
      <c r="L37" s="198"/>
      <c r="M37" s="50"/>
    </row>
    <row r="38" spans="1:13" ht="30" customHeight="1" outlineLevel="1" x14ac:dyDescent="0.25">
      <c r="A38" s="21"/>
      <c r="B38" s="4"/>
      <c r="C38" s="9" t="s">
        <v>169</v>
      </c>
      <c r="D38" s="7" t="s">
        <v>172</v>
      </c>
      <c r="E38" s="58">
        <v>5</v>
      </c>
      <c r="F38" s="48" t="b">
        <v>1</v>
      </c>
      <c r="G38" s="264">
        <f>SUMIF(F38:F40,TRUE,E38:E40)</f>
        <v>10</v>
      </c>
      <c r="H38" s="265">
        <v>10</v>
      </c>
      <c r="I38" s="42">
        <f>IF(F38=TRUE,E38*$J$26,0)/100</f>
        <v>0</v>
      </c>
      <c r="J38" s="52"/>
      <c r="K38" s="276"/>
      <c r="L38" s="198"/>
      <c r="M38" s="50"/>
    </row>
    <row r="39" spans="1:13" ht="30" customHeight="1" outlineLevel="1" x14ac:dyDescent="0.25">
      <c r="A39" s="21"/>
      <c r="B39" s="4"/>
      <c r="C39" s="9" t="s">
        <v>170</v>
      </c>
      <c r="D39" s="7" t="s">
        <v>173</v>
      </c>
      <c r="E39" s="58">
        <v>2.5</v>
      </c>
      <c r="F39" s="48" t="b">
        <v>1</v>
      </c>
      <c r="G39" s="264"/>
      <c r="H39" s="265"/>
      <c r="I39" s="71">
        <f t="shared" ref="I39:I40" si="6">IF(F39=TRUE,E39*$J$26,0)/100</f>
        <v>0</v>
      </c>
      <c r="J39" s="52"/>
      <c r="K39" s="276"/>
      <c r="L39" s="198"/>
      <c r="M39" s="50"/>
    </row>
    <row r="40" spans="1:13" ht="30" customHeight="1" outlineLevel="1" x14ac:dyDescent="0.25">
      <c r="A40" s="21"/>
      <c r="B40" s="4"/>
      <c r="C40" s="9" t="s">
        <v>171</v>
      </c>
      <c r="D40" s="7" t="s">
        <v>174</v>
      </c>
      <c r="E40" s="58">
        <v>2.5</v>
      </c>
      <c r="F40" s="48" t="b">
        <v>1</v>
      </c>
      <c r="G40" s="264"/>
      <c r="H40" s="265"/>
      <c r="I40" s="42">
        <f t="shared" si="6"/>
        <v>0</v>
      </c>
      <c r="J40" s="52"/>
      <c r="K40" s="276"/>
      <c r="L40" s="198"/>
      <c r="M40" s="50"/>
    </row>
    <row r="41" spans="1:13" ht="15" customHeight="1" outlineLevel="1" x14ac:dyDescent="0.25">
      <c r="A41" s="21"/>
      <c r="B41" s="1" t="s">
        <v>175</v>
      </c>
      <c r="C41" s="262" t="s">
        <v>176</v>
      </c>
      <c r="D41" s="263"/>
      <c r="E41" s="232"/>
      <c r="F41" s="37"/>
      <c r="G41" s="5"/>
      <c r="H41" s="22"/>
      <c r="I41" s="70"/>
      <c r="J41" s="52"/>
      <c r="K41" s="276"/>
      <c r="L41" s="198"/>
      <c r="M41" s="50"/>
    </row>
    <row r="42" spans="1:13" ht="30" customHeight="1" outlineLevel="1" x14ac:dyDescent="0.25">
      <c r="A42" s="21"/>
      <c r="B42" s="4"/>
      <c r="C42" s="9" t="s">
        <v>177</v>
      </c>
      <c r="D42" s="7" t="s">
        <v>179</v>
      </c>
      <c r="E42" s="58">
        <v>5</v>
      </c>
      <c r="F42" s="48" t="b">
        <v>1</v>
      </c>
      <c r="G42" s="264">
        <f>SUMIF(F42:F43,TRUE,E42:E43)</f>
        <v>10</v>
      </c>
      <c r="H42" s="265">
        <v>10</v>
      </c>
      <c r="I42" s="42">
        <f>IF(F42=TRUE,E42*$J$26,0)/100</f>
        <v>0</v>
      </c>
      <c r="J42" s="52"/>
      <c r="K42" s="276"/>
      <c r="L42" s="198"/>
      <c r="M42" s="50"/>
    </row>
    <row r="43" spans="1:13" ht="30" customHeight="1" outlineLevel="1" x14ac:dyDescent="0.25">
      <c r="A43" s="21"/>
      <c r="B43" s="4"/>
      <c r="C43" s="9" t="s">
        <v>178</v>
      </c>
      <c r="D43" s="7" t="s">
        <v>180</v>
      </c>
      <c r="E43" s="58">
        <v>5</v>
      </c>
      <c r="F43" s="48" t="b">
        <v>1</v>
      </c>
      <c r="G43" s="264"/>
      <c r="H43" s="265"/>
      <c r="I43" s="42">
        <f>IF(F43=TRUE,E43*$J$26,0)/100</f>
        <v>0</v>
      </c>
      <c r="J43" s="52"/>
      <c r="K43" s="276"/>
      <c r="L43" s="198"/>
      <c r="M43" s="50"/>
    </row>
    <row r="44" spans="1:13" ht="15" customHeight="1" outlineLevel="1" x14ac:dyDescent="0.25">
      <c r="A44" s="21"/>
      <c r="B44" s="1" t="s">
        <v>181</v>
      </c>
      <c r="C44" s="262" t="s">
        <v>182</v>
      </c>
      <c r="D44" s="263"/>
      <c r="E44" s="232"/>
      <c r="F44" s="37"/>
      <c r="G44" s="5"/>
      <c r="H44" s="22"/>
      <c r="I44" s="70"/>
      <c r="J44" s="52"/>
      <c r="K44" s="276"/>
      <c r="L44" s="198"/>
      <c r="M44" s="50"/>
    </row>
    <row r="45" spans="1:13" ht="45" customHeight="1" outlineLevel="1" x14ac:dyDescent="0.25">
      <c r="A45" s="21"/>
      <c r="B45" s="4"/>
      <c r="C45" s="9" t="s">
        <v>183</v>
      </c>
      <c r="D45" s="7" t="s">
        <v>184</v>
      </c>
      <c r="E45" s="58">
        <v>10</v>
      </c>
      <c r="F45" s="48" t="b">
        <v>1</v>
      </c>
      <c r="G45" s="38">
        <f>SUMIF(F45:F45,TRUE,E45:E45)</f>
        <v>10</v>
      </c>
      <c r="H45" s="58">
        <v>10</v>
      </c>
      <c r="I45" s="42">
        <f>IF(F45=TRUE,E45*$J$26,0)/100</f>
        <v>0</v>
      </c>
      <c r="J45" s="52"/>
      <c r="K45" s="276"/>
      <c r="L45" s="198"/>
      <c r="M45" s="50"/>
    </row>
    <row r="46" spans="1:13" ht="15" customHeight="1" outlineLevel="1" x14ac:dyDescent="0.25">
      <c r="A46" s="21"/>
      <c r="B46" s="1" t="s">
        <v>186</v>
      </c>
      <c r="C46" s="262" t="s">
        <v>185</v>
      </c>
      <c r="D46" s="263"/>
      <c r="E46" s="232"/>
      <c r="F46" s="37"/>
      <c r="G46" s="5"/>
      <c r="H46" s="22"/>
      <c r="I46" s="70"/>
      <c r="J46" s="52"/>
      <c r="K46" s="276"/>
      <c r="L46" s="198"/>
      <c r="M46" s="50"/>
    </row>
    <row r="47" spans="1:13" ht="30" customHeight="1" outlineLevel="1" x14ac:dyDescent="0.25">
      <c r="A47" s="21"/>
      <c r="B47" s="4"/>
      <c r="C47" s="9" t="s">
        <v>187</v>
      </c>
      <c r="D47" s="7" t="s">
        <v>193</v>
      </c>
      <c r="E47" s="58">
        <v>5</v>
      </c>
      <c r="F47" s="48" t="b">
        <v>1</v>
      </c>
      <c r="G47" s="264">
        <f>SUMIF(F47:F48,TRUE,E47:E48)</f>
        <v>10</v>
      </c>
      <c r="H47" s="265">
        <v>10</v>
      </c>
      <c r="I47" s="42">
        <f>IF(F47=TRUE,E47*$J$26,0)/100</f>
        <v>0</v>
      </c>
      <c r="J47" s="52"/>
      <c r="K47" s="276"/>
      <c r="L47" s="198"/>
      <c r="M47" s="50"/>
    </row>
    <row r="48" spans="1:13" ht="30" customHeight="1" outlineLevel="1" x14ac:dyDescent="0.25">
      <c r="A48" s="21"/>
      <c r="B48" s="4"/>
      <c r="C48" s="9" t="s">
        <v>188</v>
      </c>
      <c r="D48" s="7" t="s">
        <v>192</v>
      </c>
      <c r="E48" s="58">
        <v>5</v>
      </c>
      <c r="F48" s="48" t="b">
        <v>1</v>
      </c>
      <c r="G48" s="264"/>
      <c r="H48" s="265"/>
      <c r="I48" s="42">
        <f>IF(F48=TRUE,E48*$J$26,0)/100</f>
        <v>0</v>
      </c>
      <c r="J48" s="52"/>
      <c r="K48" s="276"/>
      <c r="L48" s="198"/>
      <c r="M48" s="50"/>
    </row>
    <row r="49" spans="1:13" ht="15" customHeight="1" outlineLevel="1" x14ac:dyDescent="0.25">
      <c r="A49" s="21"/>
      <c r="B49" s="1" t="s">
        <v>189</v>
      </c>
      <c r="C49" s="262" t="s">
        <v>190</v>
      </c>
      <c r="D49" s="263"/>
      <c r="E49" s="232"/>
      <c r="F49" s="37"/>
      <c r="G49" s="52"/>
      <c r="H49" s="52"/>
      <c r="I49" s="70"/>
      <c r="J49" s="52"/>
      <c r="K49" s="276"/>
      <c r="L49" s="198"/>
      <c r="M49" s="50"/>
    </row>
    <row r="50" spans="1:13" ht="30" customHeight="1" outlineLevel="1" x14ac:dyDescent="0.25">
      <c r="A50" s="21"/>
      <c r="B50" s="4"/>
      <c r="C50" s="9" t="s">
        <v>191</v>
      </c>
      <c r="D50" s="7" t="s">
        <v>194</v>
      </c>
      <c r="E50" s="58">
        <v>10</v>
      </c>
      <c r="F50" s="48" t="b">
        <v>1</v>
      </c>
      <c r="G50" s="38">
        <f>SUMIF(F50,TRUE,E50)</f>
        <v>10</v>
      </c>
      <c r="H50" s="58">
        <v>10</v>
      </c>
      <c r="I50" s="42">
        <f>IF(F50=TRUE,E50*$J$26,0)/100</f>
        <v>0</v>
      </c>
      <c r="J50" s="52"/>
      <c r="K50" s="276"/>
      <c r="L50" s="198"/>
      <c r="M50" s="50"/>
    </row>
    <row r="51" spans="1:13" x14ac:dyDescent="0.25">
      <c r="A51" s="23" t="s">
        <v>5</v>
      </c>
      <c r="B51" s="278" t="s">
        <v>8</v>
      </c>
      <c r="C51" s="279"/>
      <c r="D51" s="279"/>
      <c r="E51" s="279"/>
      <c r="F51" s="280"/>
      <c r="G51" s="40">
        <f>SUM(G52:G56)</f>
        <v>100</v>
      </c>
      <c r="H51" s="60">
        <v>100</v>
      </c>
      <c r="I51" s="68">
        <f>G51*J51/100</f>
        <v>5</v>
      </c>
      <c r="J51" s="61">
        <f>Forside!C4/SUM(Forside!C2:C6)*Matrix!K2*100</f>
        <v>5</v>
      </c>
      <c r="K51" s="276"/>
      <c r="L51" s="198"/>
      <c r="M51" s="50"/>
    </row>
    <row r="52" spans="1:13" ht="15" customHeight="1" outlineLevel="1" x14ac:dyDescent="0.25">
      <c r="A52" s="21"/>
      <c r="B52" s="1" t="s">
        <v>25</v>
      </c>
      <c r="C52" s="262" t="s">
        <v>30</v>
      </c>
      <c r="D52" s="263"/>
      <c r="E52" s="232"/>
      <c r="F52" s="37"/>
      <c r="G52" s="5"/>
      <c r="H52" s="22"/>
      <c r="I52" s="69"/>
      <c r="J52" s="54"/>
      <c r="K52" s="276"/>
      <c r="L52" s="198"/>
      <c r="M52" s="50"/>
    </row>
    <row r="53" spans="1:13" ht="30" customHeight="1" outlineLevel="1" x14ac:dyDescent="0.25">
      <c r="A53" s="21"/>
      <c r="B53" s="4"/>
      <c r="C53" s="9" t="s">
        <v>61</v>
      </c>
      <c r="D53" s="6" t="s">
        <v>81</v>
      </c>
      <c r="E53" s="233">
        <v>15</v>
      </c>
      <c r="F53" s="47" t="b">
        <v>1</v>
      </c>
      <c r="G53" s="266">
        <f>SUMIF(F53:F56,TRUE,E53:E56)</f>
        <v>100</v>
      </c>
      <c r="H53" s="259">
        <v>100</v>
      </c>
      <c r="I53" s="42">
        <f>IF(F53=TRUE,E53*$J$51,0)/100</f>
        <v>0.75</v>
      </c>
      <c r="J53" s="52"/>
      <c r="K53" s="276"/>
      <c r="L53" s="198"/>
      <c r="M53" s="50"/>
    </row>
    <row r="54" spans="1:13" ht="30" customHeight="1" outlineLevel="1" x14ac:dyDescent="0.25">
      <c r="A54" s="21"/>
      <c r="B54" s="4"/>
      <c r="C54" s="9" t="s">
        <v>62</v>
      </c>
      <c r="D54" s="6" t="s">
        <v>80</v>
      </c>
      <c r="E54" s="233">
        <v>40</v>
      </c>
      <c r="F54" s="47" t="b">
        <v>1</v>
      </c>
      <c r="G54" s="267"/>
      <c r="H54" s="260"/>
      <c r="I54" s="42">
        <f t="shared" ref="I54:I56" si="7">IF(F54=TRUE,E54*$J$51,0)/100</f>
        <v>2</v>
      </c>
      <c r="J54" s="52"/>
      <c r="K54" s="276"/>
      <c r="L54" s="198"/>
      <c r="M54" s="50"/>
    </row>
    <row r="55" spans="1:13" ht="30" customHeight="1" outlineLevel="1" x14ac:dyDescent="0.25">
      <c r="A55" s="21"/>
      <c r="B55" s="4"/>
      <c r="C55" s="9" t="s">
        <v>64</v>
      </c>
      <c r="D55" s="6" t="s">
        <v>79</v>
      </c>
      <c r="E55" s="233">
        <v>15</v>
      </c>
      <c r="F55" s="47" t="b">
        <v>1</v>
      </c>
      <c r="G55" s="267"/>
      <c r="H55" s="260"/>
      <c r="I55" s="42">
        <f t="shared" si="7"/>
        <v>0.75</v>
      </c>
      <c r="J55" s="52"/>
      <c r="K55" s="276"/>
      <c r="L55" s="198"/>
      <c r="M55" s="50"/>
    </row>
    <row r="56" spans="1:13" ht="30" customHeight="1" outlineLevel="1" x14ac:dyDescent="0.25">
      <c r="A56" s="21"/>
      <c r="B56" s="4"/>
      <c r="C56" s="9" t="s">
        <v>63</v>
      </c>
      <c r="D56" s="6" t="s">
        <v>78</v>
      </c>
      <c r="E56" s="233">
        <v>30</v>
      </c>
      <c r="F56" s="47" t="b">
        <v>1</v>
      </c>
      <c r="G56" s="268"/>
      <c r="H56" s="261"/>
      <c r="I56" s="42">
        <f t="shared" si="7"/>
        <v>1.5</v>
      </c>
      <c r="J56" s="52"/>
      <c r="K56" s="276"/>
      <c r="L56" s="198"/>
      <c r="M56" s="50"/>
    </row>
    <row r="57" spans="1:13" x14ac:dyDescent="0.25">
      <c r="A57" s="23" t="s">
        <v>6</v>
      </c>
      <c r="B57" s="278" t="s">
        <v>7</v>
      </c>
      <c r="C57" s="279"/>
      <c r="D57" s="279"/>
      <c r="E57" s="279"/>
      <c r="F57" s="280"/>
      <c r="G57" s="38">
        <f>SUM(G58:G69)</f>
        <v>0</v>
      </c>
      <c r="H57" s="62">
        <v>100</v>
      </c>
      <c r="I57" s="68">
        <f>G57*J57/100</f>
        <v>0</v>
      </c>
      <c r="J57" s="61">
        <f>Forside!C5/SUM(Forside!C2:C6)*Matrix!K2*100</f>
        <v>10</v>
      </c>
      <c r="K57" s="276"/>
      <c r="L57" s="198"/>
      <c r="M57" s="50"/>
    </row>
    <row r="58" spans="1:13" ht="15" customHeight="1" outlineLevel="1" x14ac:dyDescent="0.25">
      <c r="A58" s="21"/>
      <c r="B58" s="1" t="s">
        <v>38</v>
      </c>
      <c r="C58" s="262" t="s">
        <v>31</v>
      </c>
      <c r="D58" s="263"/>
      <c r="E58" s="232"/>
      <c r="F58" s="37"/>
      <c r="G58" s="5"/>
      <c r="H58" s="22"/>
      <c r="I58" s="69"/>
      <c r="J58" s="52"/>
      <c r="K58" s="276"/>
      <c r="L58" s="198"/>
      <c r="M58" s="50"/>
    </row>
    <row r="59" spans="1:13" ht="45" customHeight="1" outlineLevel="1" x14ac:dyDescent="0.25">
      <c r="A59" s="21"/>
      <c r="B59" s="4"/>
      <c r="C59" s="9" t="s">
        <v>82</v>
      </c>
      <c r="D59" s="6" t="s">
        <v>237</v>
      </c>
      <c r="E59" s="233">
        <v>5</v>
      </c>
      <c r="F59" s="47" t="b">
        <v>0</v>
      </c>
      <c r="G59" s="266">
        <f>SUMIF(F59:F61,TRUE,E59:E61)</f>
        <v>0</v>
      </c>
      <c r="H59" s="259">
        <v>20</v>
      </c>
      <c r="I59" s="42">
        <f>IF(F59=TRUE,E59*$J$57,0)/100</f>
        <v>0</v>
      </c>
      <c r="J59" s="52"/>
      <c r="K59" s="276"/>
      <c r="L59" s="198"/>
      <c r="M59" s="50"/>
    </row>
    <row r="60" spans="1:13" ht="45" customHeight="1" outlineLevel="1" x14ac:dyDescent="0.25">
      <c r="A60" s="21"/>
      <c r="B60" s="4"/>
      <c r="C60" s="9" t="s">
        <v>83</v>
      </c>
      <c r="D60" s="6" t="s">
        <v>238</v>
      </c>
      <c r="E60" s="233">
        <v>5</v>
      </c>
      <c r="F60" s="47" t="b">
        <v>0</v>
      </c>
      <c r="G60" s="267"/>
      <c r="H60" s="260"/>
      <c r="I60" s="42">
        <f t="shared" ref="I60:I61" si="8">IF(F60=TRUE,E60*$J$57,0)/100</f>
        <v>0</v>
      </c>
      <c r="J60" s="52"/>
      <c r="K60" s="276"/>
      <c r="L60" s="198"/>
      <c r="M60" s="50"/>
    </row>
    <row r="61" spans="1:13" ht="45" customHeight="1" outlineLevel="1" x14ac:dyDescent="0.25">
      <c r="A61" s="21"/>
      <c r="B61" s="4"/>
      <c r="C61" s="9" t="s">
        <v>229</v>
      </c>
      <c r="D61" s="6" t="s">
        <v>239</v>
      </c>
      <c r="E61" s="233">
        <v>10</v>
      </c>
      <c r="F61" s="47" t="b">
        <v>0</v>
      </c>
      <c r="G61" s="268"/>
      <c r="H61" s="261"/>
      <c r="I61" s="42">
        <f t="shared" si="8"/>
        <v>0</v>
      </c>
      <c r="J61" s="52"/>
      <c r="K61" s="276"/>
      <c r="L61" s="198"/>
      <c r="M61" s="50"/>
    </row>
    <row r="62" spans="1:13" ht="15" customHeight="1" outlineLevel="1" x14ac:dyDescent="0.25">
      <c r="A62" s="21"/>
      <c r="B62" s="1" t="s">
        <v>230</v>
      </c>
      <c r="C62" s="262" t="s">
        <v>244</v>
      </c>
      <c r="D62" s="263"/>
      <c r="E62" s="232"/>
      <c r="F62" s="37"/>
      <c r="G62" s="5"/>
      <c r="H62" s="22"/>
      <c r="I62" s="65"/>
      <c r="J62" s="52"/>
      <c r="K62" s="276"/>
      <c r="L62" s="198"/>
      <c r="M62" s="50"/>
    </row>
    <row r="63" spans="1:13" ht="45" customHeight="1" outlineLevel="1" x14ac:dyDescent="0.25">
      <c r="A63" s="21"/>
      <c r="B63" s="4"/>
      <c r="C63" s="9" t="s">
        <v>231</v>
      </c>
      <c r="D63" s="7" t="s">
        <v>245</v>
      </c>
      <c r="E63" s="58">
        <v>10</v>
      </c>
      <c r="F63" s="48" t="b">
        <v>0</v>
      </c>
      <c r="G63" s="266">
        <f>SUMIF(F63:F65,TRUE,E63:E65)</f>
        <v>0</v>
      </c>
      <c r="H63" s="259">
        <v>30</v>
      </c>
      <c r="I63" s="42">
        <f>IF(F63=TRUE,E63*$J$57,0)/100</f>
        <v>0</v>
      </c>
      <c r="J63" s="52"/>
      <c r="K63" s="276"/>
      <c r="L63" s="198"/>
      <c r="M63" s="50"/>
    </row>
    <row r="64" spans="1:13" ht="60" customHeight="1" outlineLevel="1" x14ac:dyDescent="0.25">
      <c r="A64" s="21"/>
      <c r="B64" s="4"/>
      <c r="C64" s="9" t="s">
        <v>232</v>
      </c>
      <c r="D64" s="7" t="s">
        <v>246</v>
      </c>
      <c r="E64" s="58">
        <v>10</v>
      </c>
      <c r="F64" s="48" t="b">
        <v>0</v>
      </c>
      <c r="G64" s="267"/>
      <c r="H64" s="260"/>
      <c r="I64" s="42">
        <f t="shared" ref="I64:I65" si="9">IF(F64=TRUE,E64*$J$57,0)/100</f>
        <v>0</v>
      </c>
      <c r="J64" s="52"/>
      <c r="K64" s="276"/>
      <c r="L64" s="198"/>
      <c r="M64" s="50"/>
    </row>
    <row r="65" spans="1:13" ht="60" customHeight="1" outlineLevel="1" x14ac:dyDescent="0.25">
      <c r="A65" s="21"/>
      <c r="B65" s="4"/>
      <c r="C65" s="9" t="s">
        <v>233</v>
      </c>
      <c r="D65" s="7" t="s">
        <v>247</v>
      </c>
      <c r="E65" s="58">
        <v>10</v>
      </c>
      <c r="F65" s="48" t="b">
        <v>0</v>
      </c>
      <c r="G65" s="267"/>
      <c r="H65" s="260"/>
      <c r="I65" s="42">
        <f t="shared" si="9"/>
        <v>0</v>
      </c>
      <c r="J65" s="52"/>
      <c r="K65" s="276"/>
      <c r="L65" s="198"/>
      <c r="M65" s="50"/>
    </row>
    <row r="66" spans="1:13" ht="15" customHeight="1" outlineLevel="1" x14ac:dyDescent="0.25">
      <c r="A66" s="21"/>
      <c r="B66" s="1" t="s">
        <v>243</v>
      </c>
      <c r="C66" s="262" t="s">
        <v>248</v>
      </c>
      <c r="D66" s="263"/>
      <c r="E66" s="232"/>
      <c r="F66" s="37"/>
      <c r="G66" s="5"/>
      <c r="H66" s="22"/>
      <c r="I66" s="65"/>
      <c r="J66" s="52"/>
      <c r="K66" s="276"/>
      <c r="L66" s="198"/>
      <c r="M66" s="50"/>
    </row>
    <row r="67" spans="1:13" ht="45" customHeight="1" outlineLevel="1" x14ac:dyDescent="0.25">
      <c r="A67" s="21"/>
      <c r="B67" s="4"/>
      <c r="C67" s="9" t="s">
        <v>240</v>
      </c>
      <c r="D67" s="7" t="s">
        <v>249</v>
      </c>
      <c r="E67" s="58">
        <v>20</v>
      </c>
      <c r="F67" s="48" t="b">
        <v>0</v>
      </c>
      <c r="G67" s="266">
        <f>SUMIF(F67:F69,TRUE,E67:E69)</f>
        <v>0</v>
      </c>
      <c r="H67" s="259">
        <v>50</v>
      </c>
      <c r="I67" s="42">
        <f>IF(F67=TRUE,E67*$J$57,0)/100</f>
        <v>0</v>
      </c>
      <c r="J67" s="52"/>
      <c r="K67" s="276"/>
      <c r="L67" s="198"/>
      <c r="M67" s="50"/>
    </row>
    <row r="68" spans="1:13" ht="30" customHeight="1" outlineLevel="1" x14ac:dyDescent="0.25">
      <c r="A68" s="21"/>
      <c r="B68" s="4"/>
      <c r="C68" s="9" t="s">
        <v>241</v>
      </c>
      <c r="D68" s="7" t="s">
        <v>250</v>
      </c>
      <c r="E68" s="58">
        <v>10</v>
      </c>
      <c r="F68" s="48" t="b">
        <v>0</v>
      </c>
      <c r="G68" s="267"/>
      <c r="H68" s="260"/>
      <c r="I68" s="42">
        <f t="shared" ref="I68:I69" si="10">IF(F68=TRUE,E68*$J$57,0)/100</f>
        <v>0</v>
      </c>
      <c r="J68" s="52"/>
      <c r="K68" s="276"/>
      <c r="L68" s="198"/>
      <c r="M68" s="50"/>
    </row>
    <row r="69" spans="1:13" ht="30" customHeight="1" outlineLevel="1" x14ac:dyDescent="0.25">
      <c r="A69" s="21"/>
      <c r="B69" s="4"/>
      <c r="C69" s="9" t="s">
        <v>242</v>
      </c>
      <c r="D69" s="7" t="s">
        <v>84</v>
      </c>
      <c r="E69" s="58">
        <v>20</v>
      </c>
      <c r="F69" s="48" t="b">
        <v>0</v>
      </c>
      <c r="G69" s="268"/>
      <c r="H69" s="261"/>
      <c r="I69" s="42">
        <f t="shared" si="10"/>
        <v>0</v>
      </c>
      <c r="J69" s="52"/>
      <c r="K69" s="276"/>
      <c r="L69" s="198"/>
      <c r="M69" s="50"/>
    </row>
    <row r="70" spans="1:13" x14ac:dyDescent="0.25">
      <c r="A70" s="23" t="s">
        <v>9</v>
      </c>
      <c r="B70" s="278" t="s">
        <v>10</v>
      </c>
      <c r="C70" s="279"/>
      <c r="D70" s="279"/>
      <c r="E70" s="279"/>
      <c r="F70" s="280"/>
      <c r="G70" s="38">
        <f>SUM(G71:G80)</f>
        <v>0</v>
      </c>
      <c r="H70" s="62">
        <v>100</v>
      </c>
      <c r="I70" s="68">
        <f>G70*J70/100</f>
        <v>0</v>
      </c>
      <c r="J70" s="61">
        <f>Forside!C6/SUM(Forside!C2:C6)*Matrix!K2*100</f>
        <v>20</v>
      </c>
      <c r="K70" s="276"/>
      <c r="L70" s="198"/>
      <c r="M70" s="50"/>
    </row>
    <row r="71" spans="1:13" outlineLevel="1" x14ac:dyDescent="0.25">
      <c r="A71" s="24"/>
      <c r="B71" s="1" t="s">
        <v>39</v>
      </c>
      <c r="C71" s="262" t="s">
        <v>11</v>
      </c>
      <c r="D71" s="263"/>
      <c r="E71" s="13"/>
      <c r="F71" s="12"/>
      <c r="G71" s="12"/>
      <c r="H71" s="13"/>
      <c r="I71" s="72"/>
      <c r="J71" s="55"/>
      <c r="K71" s="276"/>
      <c r="L71" s="198"/>
      <c r="M71" s="50"/>
    </row>
    <row r="72" spans="1:13" ht="30" customHeight="1" outlineLevel="1" x14ac:dyDescent="0.25">
      <c r="A72" s="24"/>
      <c r="B72" s="11"/>
      <c r="C72" s="9" t="s">
        <v>87</v>
      </c>
      <c r="D72" s="2" t="s">
        <v>86</v>
      </c>
      <c r="E72" s="233">
        <v>20</v>
      </c>
      <c r="F72" s="47" t="b">
        <v>0</v>
      </c>
      <c r="G72" s="266">
        <f>SUMIF(F72:F74,TRUE,E72:E74)</f>
        <v>0</v>
      </c>
      <c r="H72" s="259">
        <v>50</v>
      </c>
      <c r="I72" s="42">
        <f>IF(F72=TRUE,E72*$J$70,0)/100</f>
        <v>0</v>
      </c>
      <c r="J72" s="55"/>
      <c r="K72" s="276"/>
      <c r="L72" s="198"/>
      <c r="M72" s="50"/>
    </row>
    <row r="73" spans="1:13" ht="30" customHeight="1" outlineLevel="1" x14ac:dyDescent="0.25">
      <c r="A73" s="24"/>
      <c r="B73" s="11"/>
      <c r="C73" s="9" t="s">
        <v>88</v>
      </c>
      <c r="D73" s="2" t="s">
        <v>85</v>
      </c>
      <c r="E73" s="233">
        <v>10</v>
      </c>
      <c r="F73" s="47" t="b">
        <v>0</v>
      </c>
      <c r="G73" s="267"/>
      <c r="H73" s="260"/>
      <c r="I73" s="42">
        <f t="shared" ref="I73:I74" si="11">IF(F73=TRUE,E73*$J$70,0)/100</f>
        <v>0</v>
      </c>
      <c r="J73" s="55"/>
      <c r="K73" s="276"/>
      <c r="L73" s="198"/>
      <c r="M73" s="50"/>
    </row>
    <row r="74" spans="1:13" ht="30" customHeight="1" outlineLevel="1" x14ac:dyDescent="0.25">
      <c r="A74" s="24"/>
      <c r="B74" s="11"/>
      <c r="C74" s="9" t="s">
        <v>89</v>
      </c>
      <c r="D74" s="2" t="s">
        <v>84</v>
      </c>
      <c r="E74" s="233">
        <v>20</v>
      </c>
      <c r="F74" s="47" t="b">
        <v>0</v>
      </c>
      <c r="G74" s="268"/>
      <c r="H74" s="261"/>
      <c r="I74" s="42">
        <f t="shared" si="11"/>
        <v>0</v>
      </c>
      <c r="J74" s="55"/>
      <c r="K74" s="276"/>
      <c r="L74" s="198"/>
      <c r="M74" s="50"/>
    </row>
    <row r="75" spans="1:13" outlineLevel="1" x14ac:dyDescent="0.25">
      <c r="A75" s="24"/>
      <c r="B75" s="1" t="s">
        <v>94</v>
      </c>
      <c r="C75" s="274" t="s">
        <v>12</v>
      </c>
      <c r="D75" s="274"/>
      <c r="E75" s="13"/>
      <c r="F75" s="12"/>
      <c r="G75" s="12"/>
      <c r="H75" s="13"/>
      <c r="I75" s="73"/>
      <c r="J75" s="55"/>
      <c r="K75" s="276"/>
      <c r="L75" s="198"/>
      <c r="M75" s="50"/>
    </row>
    <row r="76" spans="1:13" ht="30" customHeight="1" outlineLevel="1" x14ac:dyDescent="0.25">
      <c r="A76" s="24"/>
      <c r="B76" s="11"/>
      <c r="C76" s="9" t="s">
        <v>95</v>
      </c>
      <c r="D76" s="7" t="s">
        <v>93</v>
      </c>
      <c r="E76" s="233">
        <v>15</v>
      </c>
      <c r="F76" s="47" t="b">
        <v>0</v>
      </c>
      <c r="G76" s="264">
        <f>SUMIF(F76:F80,TRUE,E76:E80)</f>
        <v>0</v>
      </c>
      <c r="H76" s="265">
        <v>50</v>
      </c>
      <c r="I76" s="42">
        <f>IF(F76=TRUE,E76*$J$70,0)/100</f>
        <v>0</v>
      </c>
      <c r="J76" s="55"/>
      <c r="K76" s="276"/>
      <c r="L76" s="198"/>
      <c r="M76" s="50"/>
    </row>
    <row r="77" spans="1:13" ht="45" customHeight="1" outlineLevel="1" x14ac:dyDescent="0.25">
      <c r="A77" s="24"/>
      <c r="B77" s="11"/>
      <c r="C77" s="9" t="s">
        <v>98</v>
      </c>
      <c r="D77" s="7" t="s">
        <v>91</v>
      </c>
      <c r="E77" s="233">
        <v>10</v>
      </c>
      <c r="F77" s="47" t="b">
        <v>0</v>
      </c>
      <c r="G77" s="264"/>
      <c r="H77" s="265"/>
      <c r="I77" s="42">
        <f t="shared" ref="I77:I80" si="12">IF(F77=TRUE,E77*$J$70,0)/100</f>
        <v>0</v>
      </c>
      <c r="J77" s="55"/>
      <c r="K77" s="276"/>
      <c r="L77" s="198"/>
      <c r="M77" s="50"/>
    </row>
    <row r="78" spans="1:13" ht="30" customHeight="1" outlineLevel="1" x14ac:dyDescent="0.25">
      <c r="A78" s="24"/>
      <c r="B78" s="11"/>
      <c r="C78" s="9" t="s">
        <v>96</v>
      </c>
      <c r="D78" s="7" t="s">
        <v>90</v>
      </c>
      <c r="E78" s="233">
        <v>10</v>
      </c>
      <c r="F78" s="47" t="b">
        <v>0</v>
      </c>
      <c r="G78" s="264"/>
      <c r="H78" s="265"/>
      <c r="I78" s="42">
        <f t="shared" si="12"/>
        <v>0</v>
      </c>
      <c r="J78" s="55"/>
      <c r="K78" s="276"/>
      <c r="L78" s="198"/>
      <c r="M78" s="50"/>
    </row>
    <row r="79" spans="1:13" ht="30" customHeight="1" outlineLevel="1" x14ac:dyDescent="0.25">
      <c r="A79" s="24"/>
      <c r="B79" s="11"/>
      <c r="C79" s="9" t="s">
        <v>99</v>
      </c>
      <c r="D79" s="7" t="s">
        <v>92</v>
      </c>
      <c r="E79" s="233">
        <v>5</v>
      </c>
      <c r="F79" s="47" t="b">
        <v>0</v>
      </c>
      <c r="G79" s="264"/>
      <c r="H79" s="265"/>
      <c r="I79" s="42">
        <f t="shared" si="12"/>
        <v>0</v>
      </c>
      <c r="J79" s="55"/>
      <c r="K79" s="276"/>
      <c r="L79" s="198"/>
      <c r="M79" s="50"/>
    </row>
    <row r="80" spans="1:13" ht="30" customHeight="1" outlineLevel="1" thickBot="1" x14ac:dyDescent="0.3">
      <c r="A80" s="32"/>
      <c r="B80" s="33"/>
      <c r="C80" s="34" t="s">
        <v>97</v>
      </c>
      <c r="D80" s="29" t="s">
        <v>84</v>
      </c>
      <c r="E80" s="235">
        <v>10</v>
      </c>
      <c r="F80" s="49" t="b">
        <v>0</v>
      </c>
      <c r="G80" s="296"/>
      <c r="H80" s="297"/>
      <c r="I80" s="74">
        <f t="shared" si="12"/>
        <v>0</v>
      </c>
      <c r="J80" s="56"/>
      <c r="K80" s="277"/>
      <c r="L80" s="199"/>
      <c r="M80" s="51"/>
    </row>
    <row r="81" spans="1:13" x14ac:dyDescent="0.25">
      <c r="A81" s="35" t="s">
        <v>13</v>
      </c>
      <c r="B81" s="281" t="s">
        <v>15</v>
      </c>
      <c r="C81" s="282"/>
      <c r="D81" s="282"/>
      <c r="E81" s="282"/>
      <c r="F81" s="283"/>
      <c r="G81" s="39">
        <f>SUM(G82:G108)</f>
        <v>65</v>
      </c>
      <c r="H81" s="64">
        <v>100</v>
      </c>
      <c r="I81" s="75">
        <f>G81*J81/100</f>
        <v>4.5</v>
      </c>
      <c r="J81" s="59">
        <f>Forside!C7/SUM(Forside!C7:C10)*Matrix!K81*100</f>
        <v>6.9230769230769234</v>
      </c>
      <c r="K81" s="272">
        <v>0.3</v>
      </c>
      <c r="L81" s="197"/>
      <c r="M81" s="80"/>
    </row>
    <row r="82" spans="1:13" ht="15" customHeight="1" outlineLevel="1" x14ac:dyDescent="0.25">
      <c r="A82" s="21"/>
      <c r="B82" s="1" t="s">
        <v>2</v>
      </c>
      <c r="C82" s="1" t="s">
        <v>32</v>
      </c>
      <c r="D82" s="1"/>
      <c r="E82" s="22"/>
      <c r="F82" s="37"/>
      <c r="G82" s="5"/>
      <c r="H82" s="22"/>
      <c r="I82" s="19"/>
      <c r="J82" s="52"/>
      <c r="K82" s="273"/>
      <c r="L82" s="198"/>
      <c r="M82" s="50"/>
    </row>
    <row r="83" spans="1:13" ht="30" customHeight="1" outlineLevel="1" x14ac:dyDescent="0.25">
      <c r="A83" s="21"/>
      <c r="B83" s="4"/>
      <c r="C83" s="9" t="s">
        <v>45</v>
      </c>
      <c r="D83" s="7" t="s">
        <v>102</v>
      </c>
      <c r="E83" s="233">
        <v>5</v>
      </c>
      <c r="F83" s="47" t="b">
        <v>1</v>
      </c>
      <c r="G83" s="264">
        <f>SUMIF(F83:F85,TRUE,E83:E85)</f>
        <v>20</v>
      </c>
      <c r="H83" s="265">
        <v>20</v>
      </c>
      <c r="I83" s="42">
        <f>IF(F83=TRUE,E83*$J$81,0)/100</f>
        <v>0.34615384615384615</v>
      </c>
      <c r="J83" s="52"/>
      <c r="K83" s="273"/>
      <c r="L83" s="198"/>
      <c r="M83" s="50"/>
    </row>
    <row r="84" spans="1:13" ht="30" customHeight="1" outlineLevel="1" x14ac:dyDescent="0.25">
      <c r="A84" s="21"/>
      <c r="B84" s="4"/>
      <c r="C84" s="9" t="s">
        <v>49</v>
      </c>
      <c r="D84" s="7" t="s">
        <v>101</v>
      </c>
      <c r="E84" s="233">
        <v>10</v>
      </c>
      <c r="F84" s="47" t="b">
        <v>1</v>
      </c>
      <c r="G84" s="264"/>
      <c r="H84" s="265"/>
      <c r="I84" s="42">
        <f t="shared" ref="I84:I85" si="13">IF(F84=TRUE,E84*$J$81,0)/100</f>
        <v>0.69230769230769229</v>
      </c>
      <c r="J84" s="52"/>
      <c r="K84" s="273"/>
      <c r="L84" s="198"/>
      <c r="M84" s="50"/>
    </row>
    <row r="85" spans="1:13" ht="30" customHeight="1" outlineLevel="1" x14ac:dyDescent="0.25">
      <c r="A85" s="21"/>
      <c r="B85" s="4"/>
      <c r="C85" s="14" t="s">
        <v>50</v>
      </c>
      <c r="D85" s="6" t="s">
        <v>100</v>
      </c>
      <c r="E85" s="233">
        <v>5</v>
      </c>
      <c r="F85" s="47" t="b">
        <v>1</v>
      </c>
      <c r="G85" s="264"/>
      <c r="H85" s="265"/>
      <c r="I85" s="42">
        <f t="shared" si="13"/>
        <v>0.34615384615384615</v>
      </c>
      <c r="J85" s="52"/>
      <c r="K85" s="273"/>
      <c r="L85" s="198"/>
      <c r="M85" s="50"/>
    </row>
    <row r="86" spans="1:13" ht="15" customHeight="1" outlineLevel="1" x14ac:dyDescent="0.25">
      <c r="A86" s="21"/>
      <c r="B86" s="1" t="s">
        <v>65</v>
      </c>
      <c r="C86" s="1" t="s">
        <v>33</v>
      </c>
      <c r="D86" s="1"/>
      <c r="E86" s="22"/>
      <c r="F86" s="5"/>
      <c r="G86" s="5"/>
      <c r="H86" s="22"/>
      <c r="I86" s="76"/>
      <c r="J86" s="52"/>
      <c r="K86" s="273"/>
      <c r="L86" s="198"/>
      <c r="M86" s="50"/>
    </row>
    <row r="87" spans="1:13" ht="30" customHeight="1" outlineLevel="1" x14ac:dyDescent="0.25">
      <c r="A87" s="21"/>
      <c r="B87" s="4"/>
      <c r="C87" s="9" t="s">
        <v>69</v>
      </c>
      <c r="D87" s="7" t="s">
        <v>106</v>
      </c>
      <c r="E87" s="233">
        <v>5</v>
      </c>
      <c r="F87" s="47" t="b">
        <v>1</v>
      </c>
      <c r="G87" s="264">
        <f>SUMIF(F87:F90,TRUE,E87:E90)</f>
        <v>10</v>
      </c>
      <c r="H87" s="265">
        <v>20</v>
      </c>
      <c r="I87" s="42">
        <f>IF(F87=TRUE,E87*$J$81,0)/100</f>
        <v>0.34615384615384615</v>
      </c>
      <c r="J87" s="52"/>
      <c r="K87" s="273"/>
      <c r="L87" s="198"/>
      <c r="M87" s="50"/>
    </row>
    <row r="88" spans="1:13" ht="30" customHeight="1" outlineLevel="1" x14ac:dyDescent="0.25">
      <c r="A88" s="21"/>
      <c r="B88" s="4"/>
      <c r="C88" s="9" t="s">
        <v>70</v>
      </c>
      <c r="D88" s="7" t="s">
        <v>105</v>
      </c>
      <c r="E88" s="233">
        <v>5</v>
      </c>
      <c r="F88" s="47" t="b">
        <v>0</v>
      </c>
      <c r="G88" s="264"/>
      <c r="H88" s="265"/>
      <c r="I88" s="42">
        <f t="shared" ref="I88:I90" si="14">IF(F88=TRUE,E88*$J$81,0)/100</f>
        <v>0</v>
      </c>
      <c r="J88" s="52"/>
      <c r="K88" s="273"/>
      <c r="L88" s="198"/>
      <c r="M88" s="50"/>
    </row>
    <row r="89" spans="1:13" ht="30" customHeight="1" outlineLevel="1" x14ac:dyDescent="0.25">
      <c r="A89" s="21"/>
      <c r="B89" s="4"/>
      <c r="C89" s="9" t="s">
        <v>71</v>
      </c>
      <c r="D89" s="7" t="s">
        <v>104</v>
      </c>
      <c r="E89" s="233">
        <v>5</v>
      </c>
      <c r="F89" s="47" t="b">
        <v>1</v>
      </c>
      <c r="G89" s="264"/>
      <c r="H89" s="265"/>
      <c r="I89" s="42">
        <f t="shared" si="14"/>
        <v>0.34615384615384615</v>
      </c>
      <c r="J89" s="52"/>
      <c r="K89" s="273"/>
      <c r="L89" s="198"/>
      <c r="M89" s="50"/>
    </row>
    <row r="90" spans="1:13" ht="30" customHeight="1" outlineLevel="1" x14ac:dyDescent="0.25">
      <c r="A90" s="21"/>
      <c r="B90" s="4"/>
      <c r="C90" s="9" t="s">
        <v>76</v>
      </c>
      <c r="D90" s="7" t="s">
        <v>103</v>
      </c>
      <c r="E90" s="233">
        <v>5</v>
      </c>
      <c r="F90" s="47" t="b">
        <v>0</v>
      </c>
      <c r="G90" s="264"/>
      <c r="H90" s="265"/>
      <c r="I90" s="42">
        <f t="shared" si="14"/>
        <v>0</v>
      </c>
      <c r="J90" s="52"/>
      <c r="K90" s="273"/>
      <c r="L90" s="198"/>
      <c r="M90" s="50"/>
    </row>
    <row r="91" spans="1:13" ht="15" customHeight="1" outlineLevel="1" x14ac:dyDescent="0.25">
      <c r="A91" s="21"/>
      <c r="B91" s="15" t="s">
        <v>66</v>
      </c>
      <c r="C91" s="1" t="s">
        <v>34</v>
      </c>
      <c r="D91" s="1"/>
      <c r="E91" s="22"/>
      <c r="F91" s="5"/>
      <c r="G91" s="5"/>
      <c r="H91" s="22"/>
      <c r="I91" s="76"/>
      <c r="J91" s="52"/>
      <c r="K91" s="273"/>
      <c r="L91" s="198"/>
      <c r="M91" s="50"/>
    </row>
    <row r="92" spans="1:13" ht="30" customHeight="1" outlineLevel="1" x14ac:dyDescent="0.25">
      <c r="A92" s="21"/>
      <c r="B92" s="4"/>
      <c r="C92" s="9" t="s">
        <v>72</v>
      </c>
      <c r="D92" s="16" t="s">
        <v>109</v>
      </c>
      <c r="E92" s="233">
        <v>5</v>
      </c>
      <c r="F92" s="47" t="b">
        <v>1</v>
      </c>
      <c r="G92" s="264">
        <f>SUMIF(F92:F94,TRUE,E92:E94)</f>
        <v>5</v>
      </c>
      <c r="H92" s="265">
        <v>15</v>
      </c>
      <c r="I92" s="42">
        <f>IF(F92=TRUE,E92*$J$81,0)/100</f>
        <v>0.34615384615384615</v>
      </c>
      <c r="J92" s="52"/>
      <c r="K92" s="273"/>
      <c r="L92" s="198"/>
      <c r="M92" s="50"/>
    </row>
    <row r="93" spans="1:13" ht="30" customHeight="1" outlineLevel="1" x14ac:dyDescent="0.25">
      <c r="A93" s="21"/>
      <c r="B93" s="4"/>
      <c r="C93" s="9" t="s">
        <v>73</v>
      </c>
      <c r="D93" s="17" t="s">
        <v>108</v>
      </c>
      <c r="E93" s="233">
        <v>5</v>
      </c>
      <c r="F93" s="47" t="b">
        <v>0</v>
      </c>
      <c r="G93" s="264"/>
      <c r="H93" s="265"/>
      <c r="I93" s="42">
        <f t="shared" ref="I93:I94" si="15">IF(F93=TRUE,E93*$J$81,0)/100</f>
        <v>0</v>
      </c>
      <c r="J93" s="52"/>
      <c r="K93" s="273"/>
      <c r="L93" s="198"/>
      <c r="M93" s="50"/>
    </row>
    <row r="94" spans="1:13" ht="30" customHeight="1" outlineLevel="1" x14ac:dyDescent="0.25">
      <c r="A94" s="21"/>
      <c r="B94" s="4"/>
      <c r="C94" s="14" t="s">
        <v>74</v>
      </c>
      <c r="D94" s="17" t="s">
        <v>107</v>
      </c>
      <c r="E94" s="233">
        <v>5</v>
      </c>
      <c r="F94" s="47" t="b">
        <v>0</v>
      </c>
      <c r="G94" s="264"/>
      <c r="H94" s="265"/>
      <c r="I94" s="42">
        <f t="shared" si="15"/>
        <v>0</v>
      </c>
      <c r="J94" s="52"/>
      <c r="K94" s="273"/>
      <c r="L94" s="198"/>
      <c r="M94" s="50"/>
    </row>
    <row r="95" spans="1:13" ht="20.100000000000001" customHeight="1" outlineLevel="1" x14ac:dyDescent="0.25">
      <c r="A95" s="21"/>
      <c r="B95" s="1" t="s">
        <v>67</v>
      </c>
      <c r="C95" s="284" t="s">
        <v>35</v>
      </c>
      <c r="D95" s="285"/>
      <c r="E95" s="236"/>
      <c r="F95" s="18"/>
      <c r="G95" s="5"/>
      <c r="H95" s="22"/>
      <c r="I95" s="19"/>
      <c r="J95" s="52"/>
      <c r="K95" s="273"/>
      <c r="L95" s="198"/>
      <c r="M95" s="50"/>
    </row>
    <row r="96" spans="1:13" ht="45" customHeight="1" outlineLevel="1" x14ac:dyDescent="0.25">
      <c r="A96" s="21"/>
      <c r="B96" s="4"/>
      <c r="C96" s="9" t="s">
        <v>110</v>
      </c>
      <c r="D96" s="7" t="s">
        <v>115</v>
      </c>
      <c r="E96" s="233">
        <v>5</v>
      </c>
      <c r="F96" s="47" t="b">
        <v>0</v>
      </c>
      <c r="G96" s="264">
        <f>SUMIF(F96:F98,TRUE,E96:E98)</f>
        <v>10</v>
      </c>
      <c r="H96" s="265">
        <v>15</v>
      </c>
      <c r="I96" s="42">
        <f>IF(F96=TRUE,E96*$J$81,0)/100</f>
        <v>0</v>
      </c>
      <c r="J96" s="52"/>
      <c r="K96" s="273"/>
      <c r="L96" s="198"/>
      <c r="M96" s="50"/>
    </row>
    <row r="97" spans="1:13" ht="30" customHeight="1" outlineLevel="1" x14ac:dyDescent="0.25">
      <c r="A97" s="21"/>
      <c r="B97" s="4"/>
      <c r="C97" s="9" t="s">
        <v>111</v>
      </c>
      <c r="D97" s="7" t="s">
        <v>114</v>
      </c>
      <c r="E97" s="233">
        <v>5</v>
      </c>
      <c r="F97" s="47" t="b">
        <v>1</v>
      </c>
      <c r="G97" s="264"/>
      <c r="H97" s="265"/>
      <c r="I97" s="42">
        <f t="shared" ref="I97:I98" si="16">IF(F97=TRUE,E97*$J$81,0)/100</f>
        <v>0.34615384615384615</v>
      </c>
      <c r="J97" s="52"/>
      <c r="K97" s="273"/>
      <c r="L97" s="198"/>
      <c r="M97" s="50"/>
    </row>
    <row r="98" spans="1:13" ht="45" customHeight="1" outlineLevel="1" x14ac:dyDescent="0.25">
      <c r="A98" s="21"/>
      <c r="B98" s="4"/>
      <c r="C98" s="9" t="s">
        <v>112</v>
      </c>
      <c r="D98" s="7" t="s">
        <v>113</v>
      </c>
      <c r="E98" s="233">
        <v>5</v>
      </c>
      <c r="F98" s="47" t="b">
        <v>1</v>
      </c>
      <c r="G98" s="264"/>
      <c r="H98" s="265"/>
      <c r="I98" s="42">
        <f t="shared" si="16"/>
        <v>0.34615384615384615</v>
      </c>
      <c r="J98" s="52"/>
      <c r="K98" s="273"/>
      <c r="L98" s="198"/>
      <c r="M98" s="50"/>
    </row>
    <row r="99" spans="1:13" ht="20.100000000000001" customHeight="1" outlineLevel="1" x14ac:dyDescent="0.25">
      <c r="A99" s="21"/>
      <c r="B99" s="1" t="s">
        <v>68</v>
      </c>
      <c r="C99" s="284" t="s">
        <v>36</v>
      </c>
      <c r="D99" s="285"/>
      <c r="E99" s="236"/>
      <c r="F99" s="18"/>
      <c r="G99" s="5"/>
      <c r="H99" s="22"/>
      <c r="I99" s="67"/>
      <c r="J99" s="52"/>
      <c r="K99" s="273"/>
      <c r="L99" s="198"/>
      <c r="M99" s="50"/>
    </row>
    <row r="100" spans="1:13" ht="30" customHeight="1" outlineLevel="1" x14ac:dyDescent="0.25">
      <c r="A100" s="21"/>
      <c r="B100" s="4"/>
      <c r="C100" s="9" t="s">
        <v>124</v>
      </c>
      <c r="D100" s="7" t="s">
        <v>119</v>
      </c>
      <c r="E100" s="233">
        <v>2.5</v>
      </c>
      <c r="F100" s="47" t="b">
        <v>1</v>
      </c>
      <c r="G100" s="264">
        <f>SUMIF(F100:F103,TRUE,E100:E103)</f>
        <v>10</v>
      </c>
      <c r="H100" s="265">
        <v>10</v>
      </c>
      <c r="I100" s="42">
        <f>IF(F100=TRUE,E100*$J$81,0)/100</f>
        <v>0.17307692307692307</v>
      </c>
      <c r="J100" s="52"/>
      <c r="K100" s="273"/>
      <c r="L100" s="198"/>
      <c r="M100" s="50"/>
    </row>
    <row r="101" spans="1:13" ht="30" customHeight="1" outlineLevel="1" x14ac:dyDescent="0.25">
      <c r="A101" s="21"/>
      <c r="B101" s="4"/>
      <c r="C101" s="9" t="s">
        <v>125</v>
      </c>
      <c r="D101" s="7" t="s">
        <v>118</v>
      </c>
      <c r="E101" s="233">
        <v>2.5</v>
      </c>
      <c r="F101" s="47" t="b">
        <v>1</v>
      </c>
      <c r="G101" s="264"/>
      <c r="H101" s="265"/>
      <c r="I101" s="42">
        <f t="shared" ref="I101:I103" si="17">IF(F101=TRUE,E101*$J$81,0)/100</f>
        <v>0.17307692307692307</v>
      </c>
      <c r="J101" s="52"/>
      <c r="K101" s="273"/>
      <c r="L101" s="198"/>
      <c r="M101" s="50"/>
    </row>
    <row r="102" spans="1:13" ht="30" customHeight="1" outlineLevel="1" x14ac:dyDescent="0.25">
      <c r="A102" s="21"/>
      <c r="B102" s="4"/>
      <c r="C102" s="9" t="s">
        <v>126</v>
      </c>
      <c r="D102" s="7" t="s">
        <v>117</v>
      </c>
      <c r="E102" s="233">
        <v>2.5</v>
      </c>
      <c r="F102" s="47" t="b">
        <v>1</v>
      </c>
      <c r="G102" s="264"/>
      <c r="H102" s="265"/>
      <c r="I102" s="42">
        <f t="shared" si="17"/>
        <v>0.17307692307692307</v>
      </c>
      <c r="J102" s="52"/>
      <c r="K102" s="273"/>
      <c r="L102" s="198"/>
      <c r="M102" s="50"/>
    </row>
    <row r="103" spans="1:13" ht="30" customHeight="1" outlineLevel="1" x14ac:dyDescent="0.25">
      <c r="A103" s="21"/>
      <c r="B103" s="4"/>
      <c r="C103" s="14" t="s">
        <v>127</v>
      </c>
      <c r="D103" s="6" t="s">
        <v>116</v>
      </c>
      <c r="E103" s="233">
        <v>2.5</v>
      </c>
      <c r="F103" s="47" t="b">
        <v>1</v>
      </c>
      <c r="G103" s="264"/>
      <c r="H103" s="265"/>
      <c r="I103" s="42">
        <f t="shared" si="17"/>
        <v>0.17307692307692307</v>
      </c>
      <c r="J103" s="52"/>
      <c r="K103" s="273"/>
      <c r="L103" s="198"/>
      <c r="M103" s="50"/>
    </row>
    <row r="104" spans="1:13" ht="20.100000000000001" customHeight="1" outlineLevel="1" x14ac:dyDescent="0.25">
      <c r="A104" s="21"/>
      <c r="B104" s="1" t="s">
        <v>128</v>
      </c>
      <c r="C104" s="284" t="s">
        <v>37</v>
      </c>
      <c r="D104" s="285"/>
      <c r="E104" s="236"/>
      <c r="F104" s="18"/>
      <c r="G104" s="5"/>
      <c r="H104" s="22"/>
      <c r="I104" s="19"/>
      <c r="J104" s="52"/>
      <c r="K104" s="273"/>
      <c r="L104" s="198"/>
      <c r="M104" s="50"/>
    </row>
    <row r="105" spans="1:13" ht="30" customHeight="1" outlineLevel="1" x14ac:dyDescent="0.25">
      <c r="A105" s="21"/>
      <c r="B105" s="4"/>
      <c r="C105" s="9" t="s">
        <v>129</v>
      </c>
      <c r="D105" s="7" t="s">
        <v>123</v>
      </c>
      <c r="E105" s="233">
        <v>5</v>
      </c>
      <c r="F105" s="47" t="b">
        <v>1</v>
      </c>
      <c r="G105" s="264">
        <f>SUMIF(F105:F108,TRUE,E105:E108)</f>
        <v>10</v>
      </c>
      <c r="H105" s="265">
        <v>20</v>
      </c>
      <c r="I105" s="42">
        <f>IF(F105=TRUE,E105*$J$81,0)/100</f>
        <v>0.34615384615384615</v>
      </c>
      <c r="J105" s="52"/>
      <c r="K105" s="273"/>
      <c r="L105" s="198"/>
      <c r="M105" s="50"/>
    </row>
    <row r="106" spans="1:13" ht="45" customHeight="1" outlineLevel="1" x14ac:dyDescent="0.25">
      <c r="A106" s="21"/>
      <c r="B106" s="4"/>
      <c r="C106" s="9" t="s">
        <v>130</v>
      </c>
      <c r="D106" s="7" t="s">
        <v>122</v>
      </c>
      <c r="E106" s="233">
        <v>5</v>
      </c>
      <c r="F106" s="47" t="b">
        <v>1</v>
      </c>
      <c r="G106" s="264"/>
      <c r="H106" s="265"/>
      <c r="I106" s="42">
        <f t="shared" ref="I106:I108" si="18">IF(F106=TRUE,E106*$J$81,0)/100</f>
        <v>0.34615384615384615</v>
      </c>
      <c r="J106" s="52"/>
      <c r="K106" s="273"/>
      <c r="L106" s="198"/>
      <c r="M106" s="50"/>
    </row>
    <row r="107" spans="1:13" ht="30" customHeight="1" outlineLevel="1" x14ac:dyDescent="0.25">
      <c r="A107" s="21"/>
      <c r="B107" s="4"/>
      <c r="C107" s="9" t="s">
        <v>131</v>
      </c>
      <c r="D107" s="7" t="s">
        <v>121</v>
      </c>
      <c r="E107" s="233">
        <v>5</v>
      </c>
      <c r="F107" s="47" t="b">
        <v>0</v>
      </c>
      <c r="G107" s="264"/>
      <c r="H107" s="265"/>
      <c r="I107" s="42">
        <f t="shared" si="18"/>
        <v>0</v>
      </c>
      <c r="J107" s="52"/>
      <c r="K107" s="273"/>
      <c r="L107" s="198"/>
      <c r="M107" s="50"/>
    </row>
    <row r="108" spans="1:13" ht="30" customHeight="1" outlineLevel="1" x14ac:dyDescent="0.25">
      <c r="A108" s="21"/>
      <c r="B108" s="4"/>
      <c r="C108" s="9" t="s">
        <v>132</v>
      </c>
      <c r="D108" s="7" t="s">
        <v>120</v>
      </c>
      <c r="E108" s="233">
        <v>5</v>
      </c>
      <c r="F108" s="47" t="b">
        <v>0</v>
      </c>
      <c r="G108" s="264"/>
      <c r="H108" s="265"/>
      <c r="I108" s="42">
        <f t="shared" si="18"/>
        <v>0</v>
      </c>
      <c r="J108" s="52"/>
      <c r="K108" s="273"/>
      <c r="L108" s="198"/>
      <c r="M108" s="50"/>
    </row>
    <row r="109" spans="1:13" x14ac:dyDescent="0.25">
      <c r="A109" s="25" t="s">
        <v>14</v>
      </c>
      <c r="B109" s="298" t="s">
        <v>16</v>
      </c>
      <c r="C109" s="299"/>
      <c r="D109" s="299"/>
      <c r="E109" s="299"/>
      <c r="F109" s="300"/>
      <c r="G109" s="40">
        <f>SUM(G110:G123)</f>
        <v>45</v>
      </c>
      <c r="H109" s="60">
        <v>100</v>
      </c>
      <c r="I109" s="42">
        <f>G109*J109/100</f>
        <v>3.1153846153846154</v>
      </c>
      <c r="J109" s="61">
        <f>Forside!C8/SUM(Forside!C7:C10)*Matrix!K81*100</f>
        <v>6.9230769230769234</v>
      </c>
      <c r="K109" s="273"/>
      <c r="L109" s="198"/>
      <c r="M109" s="50"/>
    </row>
    <row r="110" spans="1:13" ht="15" customHeight="1" outlineLevel="1" x14ac:dyDescent="0.25">
      <c r="A110" s="21"/>
      <c r="B110" s="1" t="s">
        <v>24</v>
      </c>
      <c r="C110" s="262" t="s">
        <v>195</v>
      </c>
      <c r="D110" s="263"/>
      <c r="E110" s="232"/>
      <c r="F110" s="5"/>
      <c r="G110" s="5"/>
      <c r="H110" s="22"/>
      <c r="I110" s="67"/>
      <c r="J110" s="54"/>
      <c r="K110" s="273"/>
      <c r="L110" s="198"/>
      <c r="M110" s="50"/>
    </row>
    <row r="111" spans="1:13" ht="30" customHeight="1" outlineLevel="1" x14ac:dyDescent="0.25">
      <c r="A111" s="21"/>
      <c r="B111" s="4"/>
      <c r="C111" s="9" t="s">
        <v>56</v>
      </c>
      <c r="D111" s="77" t="s">
        <v>200</v>
      </c>
      <c r="E111" s="58">
        <v>15</v>
      </c>
      <c r="F111" s="48" t="b">
        <v>1</v>
      </c>
      <c r="G111" s="264">
        <f>SUMIF(F111:F113,TRUE,E111:E113)</f>
        <v>30</v>
      </c>
      <c r="H111" s="265">
        <v>40</v>
      </c>
      <c r="I111" s="42">
        <f>IF(F111=TRUE,E111*$J$109,0)/100</f>
        <v>1.0384615384615385</v>
      </c>
      <c r="J111" s="52"/>
      <c r="K111" s="273"/>
      <c r="L111" s="198"/>
      <c r="M111" s="50"/>
    </row>
    <row r="112" spans="1:13" ht="45" customHeight="1" outlineLevel="1" x14ac:dyDescent="0.25">
      <c r="A112" s="21"/>
      <c r="B112" s="4"/>
      <c r="C112" s="9" t="s">
        <v>150</v>
      </c>
      <c r="D112" s="7" t="s">
        <v>201</v>
      </c>
      <c r="E112" s="58">
        <v>15</v>
      </c>
      <c r="F112" s="48" t="b">
        <v>1</v>
      </c>
      <c r="G112" s="264"/>
      <c r="H112" s="265"/>
      <c r="I112" s="42">
        <f t="shared" ref="I112:I113" si="19">IF(F112=TRUE,E112*$J$109,0)/100</f>
        <v>1.0384615384615385</v>
      </c>
      <c r="J112" s="52"/>
      <c r="K112" s="273"/>
      <c r="L112" s="198"/>
      <c r="M112" s="50"/>
    </row>
    <row r="113" spans="1:13" ht="45" customHeight="1" outlineLevel="1" x14ac:dyDescent="0.25">
      <c r="A113" s="21"/>
      <c r="B113" s="4"/>
      <c r="C113" s="9" t="s">
        <v>151</v>
      </c>
      <c r="D113" s="7" t="s">
        <v>202</v>
      </c>
      <c r="E113" s="58">
        <v>10</v>
      </c>
      <c r="F113" s="48" t="b">
        <v>0</v>
      </c>
      <c r="G113" s="264"/>
      <c r="H113" s="265"/>
      <c r="I113" s="42">
        <f t="shared" si="19"/>
        <v>0</v>
      </c>
      <c r="J113" s="52"/>
      <c r="K113" s="273"/>
      <c r="L113" s="198"/>
      <c r="M113" s="50"/>
    </row>
    <row r="114" spans="1:13" ht="15" customHeight="1" outlineLevel="1" x14ac:dyDescent="0.25">
      <c r="A114" s="21"/>
      <c r="B114" s="1" t="s">
        <v>157</v>
      </c>
      <c r="C114" s="262" t="s">
        <v>196</v>
      </c>
      <c r="D114" s="263"/>
      <c r="E114" s="232"/>
      <c r="F114" s="37"/>
      <c r="G114" s="5"/>
      <c r="H114" s="22"/>
      <c r="I114" s="65"/>
      <c r="J114" s="52"/>
      <c r="K114" s="273"/>
      <c r="L114" s="198"/>
      <c r="M114" s="50"/>
    </row>
    <row r="115" spans="1:13" ht="45" customHeight="1" outlineLevel="1" x14ac:dyDescent="0.25">
      <c r="A115" s="21"/>
      <c r="B115" s="4"/>
      <c r="C115" s="9" t="s">
        <v>159</v>
      </c>
      <c r="D115" s="7" t="s">
        <v>203</v>
      </c>
      <c r="E115" s="58">
        <v>15</v>
      </c>
      <c r="F115" s="48" t="b">
        <v>0</v>
      </c>
      <c r="G115" s="266">
        <f>SUMIF(F115:F117,TRUE,E115:E117)</f>
        <v>15</v>
      </c>
      <c r="H115" s="259">
        <v>30</v>
      </c>
      <c r="I115" s="42">
        <f>IF(F115=TRUE,E115*$J$109,0)/100</f>
        <v>0</v>
      </c>
      <c r="J115" s="52"/>
      <c r="K115" s="273"/>
      <c r="L115" s="198"/>
      <c r="M115" s="50"/>
    </row>
    <row r="116" spans="1:13" ht="45" customHeight="1" outlineLevel="1" x14ac:dyDescent="0.25">
      <c r="A116" s="21"/>
      <c r="B116" s="4"/>
      <c r="C116" s="9" t="s">
        <v>160</v>
      </c>
      <c r="D116" s="7" t="s">
        <v>204</v>
      </c>
      <c r="E116" s="58">
        <v>5</v>
      </c>
      <c r="F116" s="48" t="b">
        <v>1</v>
      </c>
      <c r="G116" s="267"/>
      <c r="H116" s="260"/>
      <c r="I116" s="42">
        <f t="shared" ref="I116:I117" si="20">IF(F116=TRUE,E116*$J$109,0)/100</f>
        <v>0.34615384615384615</v>
      </c>
      <c r="J116" s="52"/>
      <c r="K116" s="273"/>
      <c r="L116" s="198"/>
      <c r="M116" s="50"/>
    </row>
    <row r="117" spans="1:13" ht="45" customHeight="1" outlineLevel="1" x14ac:dyDescent="0.25">
      <c r="A117" s="21"/>
      <c r="B117" s="4"/>
      <c r="C117" s="9" t="s">
        <v>161</v>
      </c>
      <c r="D117" s="7" t="s">
        <v>205</v>
      </c>
      <c r="E117" s="58">
        <v>10</v>
      </c>
      <c r="F117" s="48" t="b">
        <v>1</v>
      </c>
      <c r="G117" s="268"/>
      <c r="H117" s="261"/>
      <c r="I117" s="42">
        <f t="shared" si="20"/>
        <v>0.69230769230769229</v>
      </c>
      <c r="J117" s="52"/>
      <c r="K117" s="273"/>
      <c r="L117" s="198"/>
      <c r="M117" s="50"/>
    </row>
    <row r="118" spans="1:13" ht="15" customHeight="1" outlineLevel="1" x14ac:dyDescent="0.25">
      <c r="A118" s="21"/>
      <c r="B118" s="1" t="s">
        <v>167</v>
      </c>
      <c r="C118" s="262" t="s">
        <v>197</v>
      </c>
      <c r="D118" s="263"/>
      <c r="E118" s="232"/>
      <c r="F118" s="37"/>
      <c r="G118" s="5"/>
      <c r="H118" s="22"/>
      <c r="I118" s="65"/>
      <c r="J118" s="52"/>
      <c r="K118" s="273"/>
      <c r="L118" s="198"/>
      <c r="M118" s="50"/>
    </row>
    <row r="119" spans="1:13" ht="45" customHeight="1" outlineLevel="1" x14ac:dyDescent="0.25">
      <c r="A119" s="21"/>
      <c r="B119" s="4"/>
      <c r="C119" s="9" t="s">
        <v>169</v>
      </c>
      <c r="D119" s="7" t="s">
        <v>206</v>
      </c>
      <c r="E119" s="58">
        <v>10</v>
      </c>
      <c r="F119" s="48" t="b">
        <v>0</v>
      </c>
      <c r="G119" s="266">
        <f>SUMIF(F119:F123,TRUE,E119:E123)</f>
        <v>0</v>
      </c>
      <c r="H119" s="259">
        <v>30</v>
      </c>
      <c r="I119" s="42">
        <f>IF(F119=TRUE,E119*$J$109,0)/100</f>
        <v>0</v>
      </c>
      <c r="J119" s="52"/>
      <c r="K119" s="273"/>
      <c r="L119" s="198"/>
      <c r="M119" s="50"/>
    </row>
    <row r="120" spans="1:13" ht="45" customHeight="1" outlineLevel="1" x14ac:dyDescent="0.25">
      <c r="A120" s="21"/>
      <c r="B120" s="4"/>
      <c r="C120" s="9" t="s">
        <v>170</v>
      </c>
      <c r="D120" s="7" t="s">
        <v>207</v>
      </c>
      <c r="E120" s="58">
        <v>5</v>
      </c>
      <c r="F120" s="48" t="b">
        <v>0</v>
      </c>
      <c r="G120" s="267"/>
      <c r="H120" s="260"/>
      <c r="I120" s="42">
        <f t="shared" ref="I120:I123" si="21">IF(F120=TRUE,E120*$J$109,0)/100</f>
        <v>0</v>
      </c>
      <c r="J120" s="52"/>
      <c r="K120" s="273"/>
      <c r="L120" s="198"/>
      <c r="M120" s="50"/>
    </row>
    <row r="121" spans="1:13" ht="45" customHeight="1" outlineLevel="1" x14ac:dyDescent="0.25">
      <c r="A121" s="21"/>
      <c r="B121" s="4"/>
      <c r="C121" s="9" t="s">
        <v>171</v>
      </c>
      <c r="D121" s="7" t="s">
        <v>208</v>
      </c>
      <c r="E121" s="58">
        <v>5</v>
      </c>
      <c r="F121" s="48" t="b">
        <v>0</v>
      </c>
      <c r="G121" s="267"/>
      <c r="H121" s="260"/>
      <c r="I121" s="42">
        <f t="shared" si="21"/>
        <v>0</v>
      </c>
      <c r="J121" s="52"/>
      <c r="K121" s="273"/>
      <c r="L121" s="198"/>
      <c r="M121" s="50"/>
    </row>
    <row r="122" spans="1:13" ht="45" customHeight="1" outlineLevel="1" x14ac:dyDescent="0.25">
      <c r="A122" s="21"/>
      <c r="B122" s="4"/>
      <c r="C122" s="9" t="s">
        <v>198</v>
      </c>
      <c r="D122" s="7" t="s">
        <v>209</v>
      </c>
      <c r="E122" s="58">
        <v>5</v>
      </c>
      <c r="F122" s="48" t="b">
        <v>0</v>
      </c>
      <c r="G122" s="267"/>
      <c r="H122" s="260"/>
      <c r="I122" s="42">
        <f t="shared" si="21"/>
        <v>0</v>
      </c>
      <c r="J122" s="52"/>
      <c r="K122" s="273"/>
      <c r="L122" s="198"/>
      <c r="M122" s="50"/>
    </row>
    <row r="123" spans="1:13" ht="30" customHeight="1" outlineLevel="1" x14ac:dyDescent="0.25">
      <c r="A123" s="21"/>
      <c r="B123" s="4"/>
      <c r="C123" s="9" t="s">
        <v>199</v>
      </c>
      <c r="D123" s="7" t="s">
        <v>210</v>
      </c>
      <c r="E123" s="58">
        <v>5</v>
      </c>
      <c r="F123" s="48" t="b">
        <v>0</v>
      </c>
      <c r="G123" s="268"/>
      <c r="H123" s="261"/>
      <c r="I123" s="42">
        <f t="shared" si="21"/>
        <v>0</v>
      </c>
      <c r="J123" s="52"/>
      <c r="K123" s="273"/>
      <c r="L123" s="198"/>
      <c r="M123" s="50"/>
    </row>
    <row r="124" spans="1:13" x14ac:dyDescent="0.25">
      <c r="A124" s="25" t="s">
        <v>17</v>
      </c>
      <c r="B124" s="298" t="s">
        <v>18</v>
      </c>
      <c r="C124" s="299"/>
      <c r="D124" s="299"/>
      <c r="E124" s="299"/>
      <c r="F124" s="300"/>
      <c r="G124" s="38">
        <f>SUM(G125:G132)</f>
        <v>100</v>
      </c>
      <c r="H124" s="60">
        <v>100</v>
      </c>
      <c r="I124" s="42">
        <f>G124*J124/100</f>
        <v>6.9230769230769234</v>
      </c>
      <c r="J124" s="61">
        <f>Forside!C9/SUM(Forside!C7:C10)*Matrix!K81*100</f>
        <v>6.9230769230769234</v>
      </c>
      <c r="K124" s="273"/>
      <c r="L124" s="198"/>
      <c r="M124" s="50"/>
    </row>
    <row r="125" spans="1:13" ht="15" customHeight="1" outlineLevel="1" x14ac:dyDescent="0.25">
      <c r="A125" s="21"/>
      <c r="B125" s="1" t="s">
        <v>25</v>
      </c>
      <c r="C125" s="262" t="s">
        <v>211</v>
      </c>
      <c r="D125" s="263"/>
      <c r="E125" s="232"/>
      <c r="F125" s="37"/>
      <c r="G125" s="5"/>
      <c r="H125" s="22"/>
      <c r="I125" s="19"/>
      <c r="J125" s="52"/>
      <c r="K125" s="273"/>
      <c r="L125" s="198"/>
      <c r="M125" s="50"/>
    </row>
    <row r="126" spans="1:13" ht="45" customHeight="1" outlineLevel="1" x14ac:dyDescent="0.25">
      <c r="A126" s="21"/>
      <c r="B126" s="4"/>
      <c r="C126" s="9" t="s">
        <v>61</v>
      </c>
      <c r="D126" s="77" t="s">
        <v>216</v>
      </c>
      <c r="E126" s="58">
        <v>20</v>
      </c>
      <c r="F126" s="78" t="b">
        <v>1</v>
      </c>
      <c r="G126" s="264">
        <f>SUMIF(F126:F128,TRUE,E126:E128)</f>
        <v>40</v>
      </c>
      <c r="H126" s="265">
        <v>40</v>
      </c>
      <c r="I126" s="79">
        <f>IF(F126=TRUE,E126*$J$124,0)/100</f>
        <v>1.3846153846153846</v>
      </c>
      <c r="J126" s="52"/>
      <c r="K126" s="273"/>
      <c r="L126" s="198"/>
      <c r="M126" s="50"/>
    </row>
    <row r="127" spans="1:13" ht="45" customHeight="1" outlineLevel="1" x14ac:dyDescent="0.25">
      <c r="A127" s="21"/>
      <c r="B127" s="4"/>
      <c r="C127" s="9" t="s">
        <v>62</v>
      </c>
      <c r="D127" s="7" t="s">
        <v>217</v>
      </c>
      <c r="E127" s="58">
        <v>10</v>
      </c>
      <c r="F127" s="78" t="b">
        <v>1</v>
      </c>
      <c r="G127" s="264"/>
      <c r="H127" s="265"/>
      <c r="I127" s="79">
        <f t="shared" ref="I127:I128" si="22">IF(F127=TRUE,E127*$J$124,0)/100</f>
        <v>0.69230769230769229</v>
      </c>
      <c r="J127" s="52"/>
      <c r="K127" s="273"/>
      <c r="L127" s="198"/>
      <c r="M127" s="50"/>
    </row>
    <row r="128" spans="1:13" ht="45" customHeight="1" outlineLevel="1" x14ac:dyDescent="0.25">
      <c r="A128" s="21"/>
      <c r="B128" s="4"/>
      <c r="C128" s="9" t="s">
        <v>64</v>
      </c>
      <c r="D128" s="7" t="s">
        <v>218</v>
      </c>
      <c r="E128" s="58">
        <v>10</v>
      </c>
      <c r="F128" s="78" t="b">
        <v>1</v>
      </c>
      <c r="G128" s="264"/>
      <c r="H128" s="265"/>
      <c r="I128" s="79">
        <f t="shared" si="22"/>
        <v>0.69230769230769229</v>
      </c>
      <c r="J128" s="52"/>
      <c r="K128" s="273"/>
      <c r="L128" s="198"/>
      <c r="M128" s="50"/>
    </row>
    <row r="129" spans="1:13" ht="15" customHeight="1" outlineLevel="1" x14ac:dyDescent="0.25">
      <c r="A129" s="21"/>
      <c r="B129" s="1" t="s">
        <v>212</v>
      </c>
      <c r="C129" s="262" t="s">
        <v>219</v>
      </c>
      <c r="D129" s="263"/>
      <c r="E129" s="232"/>
      <c r="F129" s="37"/>
      <c r="G129" s="5"/>
      <c r="H129" s="22"/>
      <c r="I129" s="65"/>
      <c r="J129" s="52"/>
      <c r="K129" s="273"/>
      <c r="L129" s="198"/>
      <c r="M129" s="50"/>
    </row>
    <row r="130" spans="1:13" ht="45" customHeight="1" outlineLevel="1" x14ac:dyDescent="0.25">
      <c r="A130" s="21"/>
      <c r="B130" s="4"/>
      <c r="C130" s="9" t="s">
        <v>213</v>
      </c>
      <c r="D130" s="7" t="s">
        <v>220</v>
      </c>
      <c r="E130" s="58">
        <v>20</v>
      </c>
      <c r="F130" s="48" t="b">
        <v>1</v>
      </c>
      <c r="G130" s="266">
        <f>SUMIF(F130:F132,TRUE,E130:E132)</f>
        <v>60</v>
      </c>
      <c r="H130" s="259">
        <v>60</v>
      </c>
      <c r="I130" s="79">
        <f>IF(F130=TRUE,E130*$J$124,0)/100</f>
        <v>1.3846153846153846</v>
      </c>
      <c r="J130" s="52"/>
      <c r="K130" s="273"/>
      <c r="L130" s="198"/>
      <c r="M130" s="50"/>
    </row>
    <row r="131" spans="1:13" ht="45" customHeight="1" outlineLevel="1" x14ac:dyDescent="0.25">
      <c r="A131" s="21"/>
      <c r="B131" s="4"/>
      <c r="C131" s="9" t="s">
        <v>214</v>
      </c>
      <c r="D131" s="7" t="s">
        <v>221</v>
      </c>
      <c r="E131" s="58">
        <v>20</v>
      </c>
      <c r="F131" s="48" t="b">
        <v>1</v>
      </c>
      <c r="G131" s="267"/>
      <c r="H131" s="260"/>
      <c r="I131" s="79">
        <f t="shared" ref="I131:I132" si="23">IF(F131=TRUE,E131*$J$124,0)/100</f>
        <v>1.3846153846153846</v>
      </c>
      <c r="J131" s="52"/>
      <c r="K131" s="273"/>
      <c r="L131" s="198"/>
      <c r="M131" s="50"/>
    </row>
    <row r="132" spans="1:13" ht="45" customHeight="1" outlineLevel="1" x14ac:dyDescent="0.25">
      <c r="A132" s="21"/>
      <c r="B132" s="4"/>
      <c r="C132" s="9" t="s">
        <v>215</v>
      </c>
      <c r="D132" s="7" t="s">
        <v>222</v>
      </c>
      <c r="E132" s="58">
        <v>20</v>
      </c>
      <c r="F132" s="48" t="b">
        <v>1</v>
      </c>
      <c r="G132" s="268"/>
      <c r="H132" s="261"/>
      <c r="I132" s="79">
        <f t="shared" si="23"/>
        <v>1.3846153846153846</v>
      </c>
      <c r="J132" s="52"/>
      <c r="K132" s="273"/>
      <c r="L132" s="198"/>
      <c r="M132" s="50"/>
    </row>
    <row r="133" spans="1:13" x14ac:dyDescent="0.25">
      <c r="A133" s="25" t="s">
        <v>19</v>
      </c>
      <c r="B133" s="298" t="s">
        <v>20</v>
      </c>
      <c r="C133" s="299"/>
      <c r="D133" s="299"/>
      <c r="E133" s="299"/>
      <c r="F133" s="300"/>
      <c r="G133" s="38">
        <f>SUM(G134:G141)</f>
        <v>70</v>
      </c>
      <c r="H133" s="60">
        <v>100</v>
      </c>
      <c r="I133" s="42">
        <f>G133*J133/100</f>
        <v>6.4615384615384617</v>
      </c>
      <c r="J133" s="61">
        <f>Forside!C10/SUM(Forside!C7:C10)*Matrix!K81*100</f>
        <v>9.2307692307692317</v>
      </c>
      <c r="K133" s="273"/>
      <c r="L133" s="198"/>
      <c r="M133" s="50"/>
    </row>
    <row r="134" spans="1:13" ht="15" customHeight="1" outlineLevel="1" x14ac:dyDescent="0.25">
      <c r="A134" s="21"/>
      <c r="B134" s="1" t="s">
        <v>38</v>
      </c>
      <c r="C134" s="262" t="s">
        <v>234</v>
      </c>
      <c r="D134" s="263"/>
      <c r="E134" s="232"/>
      <c r="F134" s="37"/>
      <c r="G134" s="5"/>
      <c r="H134" s="22"/>
      <c r="I134" s="65"/>
      <c r="J134" s="52"/>
      <c r="K134" s="273"/>
      <c r="L134" s="198"/>
      <c r="M134" s="50"/>
    </row>
    <row r="135" spans="1:13" ht="45" customHeight="1" outlineLevel="1" x14ac:dyDescent="0.25">
      <c r="A135" s="21"/>
      <c r="B135" s="4"/>
      <c r="C135" s="9" t="s">
        <v>82</v>
      </c>
      <c r="D135" s="7" t="s">
        <v>223</v>
      </c>
      <c r="E135" s="58">
        <v>20</v>
      </c>
      <c r="F135" s="48" t="b">
        <v>1</v>
      </c>
      <c r="G135" s="266">
        <f>SUMIF(F135:F137,TRUE,E135:E137)</f>
        <v>20</v>
      </c>
      <c r="H135" s="259">
        <v>50</v>
      </c>
      <c r="I135" s="53">
        <f>IF(F135=TRUE,E135*$J$133,0)/100</f>
        <v>1.8461538461538465</v>
      </c>
      <c r="J135" s="52"/>
      <c r="K135" s="273"/>
      <c r="L135" s="198"/>
      <c r="M135" s="50"/>
    </row>
    <row r="136" spans="1:13" ht="45" customHeight="1" outlineLevel="1" x14ac:dyDescent="0.25">
      <c r="A136" s="21"/>
      <c r="B136" s="4"/>
      <c r="C136" s="9" t="s">
        <v>83</v>
      </c>
      <c r="D136" s="7" t="s">
        <v>224</v>
      </c>
      <c r="E136" s="58">
        <v>10</v>
      </c>
      <c r="F136" s="48" t="b">
        <v>0</v>
      </c>
      <c r="G136" s="267"/>
      <c r="H136" s="260"/>
      <c r="I136" s="53">
        <f>IF(F136=TRUE,E136*$J$133,0)/100</f>
        <v>0</v>
      </c>
      <c r="J136" s="52"/>
      <c r="K136" s="273"/>
      <c r="L136" s="198"/>
      <c r="M136" s="50"/>
    </row>
    <row r="137" spans="1:13" ht="45" customHeight="1" outlineLevel="1" x14ac:dyDescent="0.25">
      <c r="A137" s="21"/>
      <c r="B137" s="4"/>
      <c r="C137" s="9" t="s">
        <v>229</v>
      </c>
      <c r="D137" s="7" t="s">
        <v>225</v>
      </c>
      <c r="E137" s="58">
        <v>20</v>
      </c>
      <c r="F137" s="48" t="b">
        <v>0</v>
      </c>
      <c r="G137" s="268"/>
      <c r="H137" s="261"/>
      <c r="I137" s="53">
        <f>IF(F137=TRUE,E137*$J$133,0)/100</f>
        <v>0</v>
      </c>
      <c r="J137" s="52"/>
      <c r="K137" s="273"/>
      <c r="L137" s="198"/>
      <c r="M137" s="50"/>
    </row>
    <row r="138" spans="1:13" ht="15" customHeight="1" outlineLevel="1" x14ac:dyDescent="0.25">
      <c r="A138" s="21"/>
      <c r="B138" s="1" t="s">
        <v>230</v>
      </c>
      <c r="C138" s="262" t="s">
        <v>235</v>
      </c>
      <c r="D138" s="263"/>
      <c r="E138" s="232"/>
      <c r="F138" s="37"/>
      <c r="G138" s="5"/>
      <c r="H138" s="22"/>
      <c r="I138" s="65"/>
      <c r="J138" s="52"/>
      <c r="K138" s="273"/>
      <c r="L138" s="198"/>
      <c r="M138" s="50"/>
    </row>
    <row r="139" spans="1:13" ht="45" customHeight="1" outlineLevel="1" x14ac:dyDescent="0.25">
      <c r="A139" s="21"/>
      <c r="B139" s="4"/>
      <c r="C139" s="9" t="s">
        <v>231</v>
      </c>
      <c r="D139" s="7" t="s">
        <v>226</v>
      </c>
      <c r="E139" s="58">
        <v>20</v>
      </c>
      <c r="F139" s="48" t="b">
        <v>1</v>
      </c>
      <c r="G139" s="266">
        <f>SUMIF(F139:F141,TRUE,E139:E141)</f>
        <v>50</v>
      </c>
      <c r="H139" s="259">
        <v>50</v>
      </c>
      <c r="I139" s="53">
        <f>IF(F139=TRUE,E139*$J$133,0)/100</f>
        <v>1.8461538461538465</v>
      </c>
      <c r="J139" s="52"/>
      <c r="K139" s="273"/>
      <c r="L139" s="198"/>
      <c r="M139" s="50"/>
    </row>
    <row r="140" spans="1:13" ht="45" customHeight="1" outlineLevel="1" x14ac:dyDescent="0.25">
      <c r="A140" s="21"/>
      <c r="B140" s="4"/>
      <c r="C140" s="9" t="s">
        <v>232</v>
      </c>
      <c r="D140" s="7" t="s">
        <v>227</v>
      </c>
      <c r="E140" s="58">
        <v>15</v>
      </c>
      <c r="F140" s="48" t="b">
        <v>1</v>
      </c>
      <c r="G140" s="267"/>
      <c r="H140" s="260"/>
      <c r="I140" s="53">
        <f>IF(F140=TRUE,E140*$J$133,0)/100</f>
        <v>1.3846153846153848</v>
      </c>
      <c r="J140" s="52"/>
      <c r="K140" s="273"/>
      <c r="L140" s="198"/>
      <c r="M140" s="50"/>
    </row>
    <row r="141" spans="1:13" ht="45" customHeight="1" outlineLevel="1" thickBot="1" x14ac:dyDescent="0.3">
      <c r="A141" s="21"/>
      <c r="B141" s="4"/>
      <c r="C141" s="9" t="s">
        <v>233</v>
      </c>
      <c r="D141" s="7" t="s">
        <v>228</v>
      </c>
      <c r="E141" s="58">
        <v>15</v>
      </c>
      <c r="F141" s="48" t="b">
        <v>1</v>
      </c>
      <c r="G141" s="268"/>
      <c r="H141" s="261"/>
      <c r="I141" s="53">
        <f>IF(F141=TRUE,E141*$J$133,0)/100</f>
        <v>1.3846153846153848</v>
      </c>
      <c r="J141" s="52"/>
      <c r="K141" s="273"/>
      <c r="L141" s="200"/>
      <c r="M141" s="51"/>
    </row>
    <row r="142" spans="1:13" ht="15.75" collapsed="1" thickBot="1" x14ac:dyDescent="0.3">
      <c r="A142" s="36" t="s">
        <v>21</v>
      </c>
      <c r="B142" s="301" t="str">
        <f>Forside!A11</f>
        <v>God forretningsskik</v>
      </c>
      <c r="C142" s="302"/>
      <c r="D142" s="302"/>
      <c r="E142" s="302"/>
      <c r="F142" s="303"/>
      <c r="G142" s="39">
        <f>SUM(G143:G153)</f>
        <v>70</v>
      </c>
      <c r="H142" s="57">
        <v>100</v>
      </c>
      <c r="I142" s="75">
        <f>G142*J142/100</f>
        <v>21</v>
      </c>
      <c r="J142" s="59">
        <f>Forside!C11/SUM(Forside!C11:C11)*Matrix!K142*100</f>
        <v>30</v>
      </c>
      <c r="K142" s="269">
        <v>0.3</v>
      </c>
      <c r="L142" s="213"/>
      <c r="M142" s="80"/>
    </row>
    <row r="143" spans="1:13" hidden="1" outlineLevel="1" x14ac:dyDescent="0.25">
      <c r="A143" s="21"/>
      <c r="B143" s="15" t="s">
        <v>2</v>
      </c>
      <c r="C143" s="274" t="s">
        <v>40</v>
      </c>
      <c r="D143" s="274"/>
      <c r="E143" s="232"/>
      <c r="F143" s="37"/>
      <c r="G143" s="5"/>
      <c r="H143" s="22"/>
      <c r="I143" s="19"/>
      <c r="J143" s="22"/>
      <c r="K143" s="270"/>
      <c r="L143" s="212"/>
      <c r="M143" s="50"/>
    </row>
    <row r="144" spans="1:13" ht="45" hidden="1" customHeight="1" outlineLevel="1" x14ac:dyDescent="0.25">
      <c r="A144" s="21"/>
      <c r="B144" s="4"/>
      <c r="C144" s="20" t="s">
        <v>45</v>
      </c>
      <c r="D144" s="7" t="s">
        <v>136</v>
      </c>
      <c r="E144" s="233">
        <v>15</v>
      </c>
      <c r="F144" s="47" t="b">
        <v>1</v>
      </c>
      <c r="G144" s="264">
        <f>SUMIF(F144:F147,TRUE,E144:E147)</f>
        <v>70</v>
      </c>
      <c r="H144" s="265">
        <v>80</v>
      </c>
      <c r="I144" s="42">
        <f>IF(F144=TRUE,E144*$J$142,0)/100</f>
        <v>4.5</v>
      </c>
      <c r="J144" s="22"/>
      <c r="K144" s="270"/>
      <c r="L144" s="210"/>
      <c r="M144" s="45"/>
    </row>
    <row r="145" spans="1:13" ht="45" hidden="1" customHeight="1" outlineLevel="1" x14ac:dyDescent="0.25">
      <c r="A145" s="21"/>
      <c r="B145" s="4"/>
      <c r="C145" s="20" t="s">
        <v>49</v>
      </c>
      <c r="D145" s="7" t="s">
        <v>135</v>
      </c>
      <c r="E145" s="233">
        <v>20</v>
      </c>
      <c r="F145" s="47" t="b">
        <v>1</v>
      </c>
      <c r="G145" s="264"/>
      <c r="H145" s="265"/>
      <c r="I145" s="42">
        <f t="shared" ref="I145:I147" si="24">IF(F145=TRUE,E145*$J$142,0)/100</f>
        <v>6</v>
      </c>
      <c r="J145" s="22"/>
      <c r="K145" s="270"/>
      <c r="L145" s="210"/>
      <c r="M145" s="45"/>
    </row>
    <row r="146" spans="1:13" ht="45" hidden="1" customHeight="1" outlineLevel="1" x14ac:dyDescent="0.25">
      <c r="A146" s="21"/>
      <c r="B146" s="4"/>
      <c r="C146" s="20" t="s">
        <v>50</v>
      </c>
      <c r="D146" s="7" t="s">
        <v>134</v>
      </c>
      <c r="E146" s="233">
        <v>20</v>
      </c>
      <c r="F146" s="47" t="b">
        <v>1</v>
      </c>
      <c r="G146" s="264"/>
      <c r="H146" s="265"/>
      <c r="I146" s="42">
        <f t="shared" si="24"/>
        <v>6</v>
      </c>
      <c r="J146" s="22"/>
      <c r="K146" s="270"/>
      <c r="L146" s="210"/>
      <c r="M146" s="45"/>
    </row>
    <row r="147" spans="1:13" ht="45" hidden="1" customHeight="1" outlineLevel="1" x14ac:dyDescent="0.25">
      <c r="A147" s="21"/>
      <c r="B147" s="4"/>
      <c r="C147" s="20" t="s">
        <v>51</v>
      </c>
      <c r="D147" s="7" t="s">
        <v>133</v>
      </c>
      <c r="E147" s="233">
        <v>15</v>
      </c>
      <c r="F147" s="47" t="b">
        <v>1</v>
      </c>
      <c r="G147" s="264"/>
      <c r="H147" s="265"/>
      <c r="I147" s="42">
        <f t="shared" si="24"/>
        <v>4.5</v>
      </c>
      <c r="J147" s="22"/>
      <c r="K147" s="270"/>
      <c r="L147" s="210"/>
      <c r="M147" s="45"/>
    </row>
    <row r="148" spans="1:13" hidden="1" outlineLevel="1" x14ac:dyDescent="0.25">
      <c r="A148" s="21"/>
      <c r="B148" s="15" t="s">
        <v>65</v>
      </c>
      <c r="C148" s="274" t="s">
        <v>41</v>
      </c>
      <c r="D148" s="274"/>
      <c r="E148" s="22"/>
      <c r="F148" s="5"/>
      <c r="G148" s="5"/>
      <c r="H148" s="22"/>
      <c r="I148" s="19"/>
      <c r="J148" s="22"/>
      <c r="K148" s="270"/>
      <c r="L148" s="210"/>
      <c r="M148" s="45"/>
    </row>
    <row r="149" spans="1:13" ht="45" hidden="1" customHeight="1" outlineLevel="1" x14ac:dyDescent="0.25">
      <c r="A149" s="21"/>
      <c r="B149" s="4"/>
      <c r="C149" s="20" t="s">
        <v>69</v>
      </c>
      <c r="D149" s="7" t="s">
        <v>139</v>
      </c>
      <c r="E149" s="233">
        <v>5</v>
      </c>
      <c r="F149" s="47" t="b">
        <v>0</v>
      </c>
      <c r="G149" s="264">
        <f>SUMIF(F149:F151,TRUE,E149:E151)</f>
        <v>0</v>
      </c>
      <c r="H149" s="265">
        <v>10</v>
      </c>
      <c r="I149" s="42">
        <f>IF(F149=TRUE,E149*$J$142,0)/100</f>
        <v>0</v>
      </c>
      <c r="J149" s="22"/>
      <c r="K149" s="270"/>
      <c r="L149" s="210"/>
      <c r="M149" s="45"/>
    </row>
    <row r="150" spans="1:13" ht="45" hidden="1" customHeight="1" outlineLevel="1" x14ac:dyDescent="0.25">
      <c r="A150" s="21"/>
      <c r="B150" s="4"/>
      <c r="C150" s="20" t="s">
        <v>70</v>
      </c>
      <c r="D150" s="7" t="s">
        <v>138</v>
      </c>
      <c r="E150" s="233">
        <v>10</v>
      </c>
      <c r="F150" s="47" t="b">
        <v>0</v>
      </c>
      <c r="G150" s="264"/>
      <c r="H150" s="265"/>
      <c r="I150" s="42">
        <f>IF(F150=TRUE,E150*$J$142,0)/100</f>
        <v>0</v>
      </c>
      <c r="J150" s="22"/>
      <c r="K150" s="270"/>
      <c r="L150" s="210"/>
      <c r="M150" s="45"/>
    </row>
    <row r="151" spans="1:13" ht="30" hidden="1" customHeight="1" outlineLevel="1" x14ac:dyDescent="0.25">
      <c r="A151" s="21"/>
      <c r="B151" s="4"/>
      <c r="C151" s="20" t="s">
        <v>71</v>
      </c>
      <c r="D151" s="7" t="s">
        <v>137</v>
      </c>
      <c r="E151" s="233">
        <v>5</v>
      </c>
      <c r="F151" s="47" t="b">
        <v>0</v>
      </c>
      <c r="G151" s="264"/>
      <c r="H151" s="265"/>
      <c r="I151" s="42">
        <f>IF(F151=TRUE,E151*$J$142,0)/100</f>
        <v>0</v>
      </c>
      <c r="J151" s="22"/>
      <c r="K151" s="270"/>
      <c r="L151" s="210"/>
      <c r="M151" s="45"/>
    </row>
    <row r="152" spans="1:13" hidden="1" outlineLevel="1" x14ac:dyDescent="0.25">
      <c r="A152" s="21"/>
      <c r="B152" s="15" t="s">
        <v>66</v>
      </c>
      <c r="C152" s="274" t="s">
        <v>42</v>
      </c>
      <c r="D152" s="274"/>
      <c r="E152" s="22"/>
      <c r="F152" s="5"/>
      <c r="G152" s="5"/>
      <c r="H152" s="22"/>
      <c r="I152" s="19"/>
      <c r="J152" s="22"/>
      <c r="K152" s="270"/>
      <c r="L152" s="210"/>
      <c r="M152" s="45"/>
    </row>
    <row r="153" spans="1:13" ht="135" hidden="1" customHeight="1" outlineLevel="1" thickBot="1" x14ac:dyDescent="0.3">
      <c r="A153" s="26"/>
      <c r="B153" s="27"/>
      <c r="C153" s="28" t="s">
        <v>72</v>
      </c>
      <c r="D153" s="29" t="s">
        <v>236</v>
      </c>
      <c r="E153" s="235">
        <v>10</v>
      </c>
      <c r="F153" s="49" t="b">
        <v>0</v>
      </c>
      <c r="G153" s="41">
        <f>SUMIF(F153,TRUE,E153)</f>
        <v>0</v>
      </c>
      <c r="H153" s="63">
        <v>10</v>
      </c>
      <c r="I153" s="42">
        <f>IF(F153=TRUE,E153*$J$142,0)/100</f>
        <v>0</v>
      </c>
      <c r="J153" s="30"/>
      <c r="K153" s="271"/>
      <c r="L153" s="211"/>
      <c r="M153" s="46"/>
    </row>
    <row r="154" spans="1:13" collapsed="1" x14ac:dyDescent="0.25">
      <c r="A154" s="164"/>
      <c r="B154" s="164"/>
      <c r="C154" s="164"/>
      <c r="D154" s="164"/>
      <c r="E154" s="165"/>
      <c r="F154" s="166"/>
      <c r="G154" s="166"/>
      <c r="H154" s="166"/>
      <c r="I154" s="165"/>
      <c r="J154" s="165"/>
      <c r="K154" s="167"/>
      <c r="L154" s="201"/>
      <c r="M154" s="167"/>
    </row>
    <row r="155" spans="1:13" hidden="1" outlineLevel="1" x14ac:dyDescent="0.25">
      <c r="A155" s="21"/>
      <c r="B155" s="3"/>
      <c r="C155" s="262"/>
      <c r="D155" s="263"/>
      <c r="E155" s="234"/>
      <c r="F155" s="5"/>
      <c r="G155" s="5"/>
      <c r="H155" s="22"/>
      <c r="I155" s="67"/>
      <c r="J155" s="52"/>
      <c r="K155" s="52"/>
      <c r="L155" s="198"/>
      <c r="M155" s="50"/>
    </row>
    <row r="156" spans="1:13" ht="45" hidden="1" customHeight="1" outlineLevel="1" x14ac:dyDescent="0.25">
      <c r="A156" s="21"/>
      <c r="B156" s="4"/>
      <c r="C156" s="9"/>
      <c r="D156" s="7"/>
      <c r="E156" s="233"/>
      <c r="F156" s="47" t="b">
        <v>0</v>
      </c>
      <c r="G156" s="266">
        <f>SUMIF(F156:F160,TRUE,E156:E160)</f>
        <v>0</v>
      </c>
      <c r="H156" s="259">
        <v>0</v>
      </c>
      <c r="I156" s="42">
        <f>IF(F156=TRUE,E156*$J$2,0)/100</f>
        <v>0</v>
      </c>
      <c r="J156" s="52"/>
      <c r="K156" s="52"/>
      <c r="L156" s="198"/>
      <c r="M156" s="50"/>
    </row>
    <row r="157" spans="1:13" ht="30" hidden="1" customHeight="1" outlineLevel="1" x14ac:dyDescent="0.25">
      <c r="A157" s="21"/>
      <c r="B157" s="4"/>
      <c r="C157" s="9"/>
      <c r="D157" s="7"/>
      <c r="E157" s="233"/>
      <c r="F157" s="47" t="b">
        <v>0</v>
      </c>
      <c r="G157" s="267"/>
      <c r="H157" s="260"/>
      <c r="I157" s="42">
        <f t="shared" ref="I157:I160" si="25">IF(F157=TRUE,E157*$J$2,0)/100</f>
        <v>0</v>
      </c>
      <c r="J157" s="52"/>
      <c r="K157" s="52"/>
      <c r="L157" s="198"/>
      <c r="M157" s="50"/>
    </row>
    <row r="158" spans="1:13" ht="45" hidden="1" customHeight="1" outlineLevel="1" x14ac:dyDescent="0.25">
      <c r="A158" s="21"/>
      <c r="B158" s="4"/>
      <c r="C158" s="9"/>
      <c r="D158" s="7"/>
      <c r="E158" s="233"/>
      <c r="F158" s="47" t="b">
        <v>0</v>
      </c>
      <c r="G158" s="267"/>
      <c r="H158" s="260"/>
      <c r="I158" s="42">
        <f t="shared" si="25"/>
        <v>0</v>
      </c>
      <c r="J158" s="52"/>
      <c r="K158" s="52"/>
      <c r="L158" s="198"/>
      <c r="M158" s="50"/>
    </row>
    <row r="159" spans="1:13" ht="30" hidden="1" customHeight="1" outlineLevel="1" x14ac:dyDescent="0.25">
      <c r="A159" s="21"/>
      <c r="B159" s="4"/>
      <c r="C159" s="9"/>
      <c r="D159" s="7"/>
      <c r="E159" s="233"/>
      <c r="F159" s="47" t="b">
        <v>0</v>
      </c>
      <c r="G159" s="267"/>
      <c r="H159" s="260"/>
      <c r="I159" s="42">
        <f t="shared" si="25"/>
        <v>0</v>
      </c>
      <c r="J159" s="52"/>
      <c r="K159" s="52"/>
      <c r="L159" s="198"/>
      <c r="M159" s="50"/>
    </row>
    <row r="160" spans="1:13" ht="30" hidden="1" customHeight="1" outlineLevel="1" x14ac:dyDescent="0.25">
      <c r="A160" s="21"/>
      <c r="B160" s="4"/>
      <c r="C160" s="9"/>
      <c r="D160" s="7"/>
      <c r="E160" s="233"/>
      <c r="F160" s="47" t="b">
        <v>0</v>
      </c>
      <c r="G160" s="268"/>
      <c r="H160" s="261"/>
      <c r="I160" s="42">
        <f t="shared" si="25"/>
        <v>0</v>
      </c>
      <c r="J160" s="52"/>
      <c r="K160" s="52"/>
      <c r="L160" s="198"/>
      <c r="M160" s="50"/>
    </row>
    <row r="194" spans="8:15" x14ac:dyDescent="0.25">
      <c r="H194" s="169"/>
      <c r="J194" s="170"/>
      <c r="K194" s="171"/>
      <c r="M194" s="171"/>
    </row>
    <row r="195" spans="8:15" x14ac:dyDescent="0.25">
      <c r="H195" s="169"/>
      <c r="J195" s="170"/>
      <c r="K195" s="171"/>
      <c r="M195" s="171"/>
    </row>
    <row r="196" spans="8:15" x14ac:dyDescent="0.25">
      <c r="H196" s="169"/>
      <c r="J196" s="170"/>
      <c r="K196" s="171"/>
      <c r="M196" s="171"/>
    </row>
    <row r="197" spans="8:15" x14ac:dyDescent="0.25">
      <c r="H197" s="169"/>
      <c r="J197" s="170"/>
      <c r="K197" s="171"/>
      <c r="M197" s="171"/>
    </row>
    <row r="198" spans="8:15" x14ac:dyDescent="0.25">
      <c r="H198" s="169"/>
      <c r="J198" s="170"/>
      <c r="K198" s="171"/>
      <c r="M198" s="171"/>
    </row>
    <row r="199" spans="8:15" x14ac:dyDescent="0.25">
      <c r="H199" s="169"/>
      <c r="J199" s="170"/>
      <c r="K199" s="171"/>
      <c r="M199" s="171"/>
    </row>
    <row r="200" spans="8:15" x14ac:dyDescent="0.25">
      <c r="H200" s="169"/>
      <c r="J200" s="170"/>
      <c r="K200" s="171"/>
      <c r="M200" s="171"/>
    </row>
    <row r="201" spans="8:15" x14ac:dyDescent="0.25">
      <c r="H201" s="169"/>
      <c r="J201" s="170"/>
      <c r="K201" s="171"/>
      <c r="M201" s="171"/>
    </row>
    <row r="207" spans="8:15" x14ac:dyDescent="0.25">
      <c r="O207" s="173"/>
    </row>
    <row r="208" spans="8:15" x14ac:dyDescent="0.25">
      <c r="O208" s="173"/>
    </row>
    <row r="209" spans="15:15" x14ac:dyDescent="0.25">
      <c r="O209" s="173"/>
    </row>
  </sheetData>
  <mergeCells count="107">
    <mergeCell ref="G10:G14"/>
    <mergeCell ref="H10:H14"/>
    <mergeCell ref="H16:H19"/>
    <mergeCell ref="C155:D155"/>
    <mergeCell ref="G156:G160"/>
    <mergeCell ref="C15:D15"/>
    <mergeCell ref="G16:G19"/>
    <mergeCell ref="G130:G132"/>
    <mergeCell ref="G149:G151"/>
    <mergeCell ref="H149:H151"/>
    <mergeCell ref="G105:G108"/>
    <mergeCell ref="H105:H108"/>
    <mergeCell ref="B109:F109"/>
    <mergeCell ref="B124:F124"/>
    <mergeCell ref="B133:F133"/>
    <mergeCell ref="B142:F142"/>
    <mergeCell ref="C143:D143"/>
    <mergeCell ref="G144:G147"/>
    <mergeCell ref="H144:H147"/>
    <mergeCell ref="C148:D148"/>
    <mergeCell ref="C110:D110"/>
    <mergeCell ref="C138:D138"/>
    <mergeCell ref="G139:G141"/>
    <mergeCell ref="H139:H141"/>
    <mergeCell ref="H126:H128"/>
    <mergeCell ref="C125:D125"/>
    <mergeCell ref="C44:D44"/>
    <mergeCell ref="G67:G69"/>
    <mergeCell ref="G76:G80"/>
    <mergeCell ref="H76:H80"/>
    <mergeCell ref="G100:G103"/>
    <mergeCell ref="H100:H103"/>
    <mergeCell ref="G87:G90"/>
    <mergeCell ref="C95:D95"/>
    <mergeCell ref="C99:D99"/>
    <mergeCell ref="B1:D1"/>
    <mergeCell ref="C3:D3"/>
    <mergeCell ref="G4:G8"/>
    <mergeCell ref="H4:H8"/>
    <mergeCell ref="B2:F2"/>
    <mergeCell ref="C62:D62"/>
    <mergeCell ref="G63:G65"/>
    <mergeCell ref="H63:H65"/>
    <mergeCell ref="C66:D66"/>
    <mergeCell ref="C58:D58"/>
    <mergeCell ref="C20:D20"/>
    <mergeCell ref="G21:G25"/>
    <mergeCell ref="H21:H25"/>
    <mergeCell ref="C27:D27"/>
    <mergeCell ref="H33:H36"/>
    <mergeCell ref="C37:D37"/>
    <mergeCell ref="G38:G40"/>
    <mergeCell ref="H38:H40"/>
    <mergeCell ref="B26:F26"/>
    <mergeCell ref="B51:F51"/>
    <mergeCell ref="G42:G43"/>
    <mergeCell ref="H42:H43"/>
    <mergeCell ref="G28:G31"/>
    <mergeCell ref="H28:H31"/>
    <mergeCell ref="K142:K153"/>
    <mergeCell ref="K81:K141"/>
    <mergeCell ref="C152:D152"/>
    <mergeCell ref="K2:K80"/>
    <mergeCell ref="G83:G85"/>
    <mergeCell ref="H83:H85"/>
    <mergeCell ref="B57:F57"/>
    <mergeCell ref="B70:F70"/>
    <mergeCell ref="B81:F81"/>
    <mergeCell ref="G59:G61"/>
    <mergeCell ref="H59:H61"/>
    <mergeCell ref="G72:G74"/>
    <mergeCell ref="H72:H74"/>
    <mergeCell ref="C9:D9"/>
    <mergeCell ref="G96:G98"/>
    <mergeCell ref="H96:H98"/>
    <mergeCell ref="G92:G94"/>
    <mergeCell ref="H92:H94"/>
    <mergeCell ref="C75:D75"/>
    <mergeCell ref="C104:D104"/>
    <mergeCell ref="H87:H90"/>
    <mergeCell ref="C134:D134"/>
    <mergeCell ref="G135:G137"/>
    <mergeCell ref="H135:H137"/>
    <mergeCell ref="H156:H160"/>
    <mergeCell ref="C46:D46"/>
    <mergeCell ref="C49:D49"/>
    <mergeCell ref="G47:G48"/>
    <mergeCell ref="H47:H48"/>
    <mergeCell ref="C41:D41"/>
    <mergeCell ref="H67:H69"/>
    <mergeCell ref="C32:D32"/>
    <mergeCell ref="H130:H132"/>
    <mergeCell ref="G53:G56"/>
    <mergeCell ref="H53:H56"/>
    <mergeCell ref="C52:D52"/>
    <mergeCell ref="C71:D71"/>
    <mergeCell ref="C114:D114"/>
    <mergeCell ref="G115:G117"/>
    <mergeCell ref="H115:H117"/>
    <mergeCell ref="C118:D118"/>
    <mergeCell ref="H119:H123"/>
    <mergeCell ref="G111:G113"/>
    <mergeCell ref="H111:H113"/>
    <mergeCell ref="C129:D129"/>
    <mergeCell ref="G126:G128"/>
    <mergeCell ref="G33:G36"/>
    <mergeCell ref="G119:G123"/>
  </mergeCells>
  <pageMargins left="0.7" right="0.7" top="0.75" bottom="0.75" header="0.3" footer="0.3"/>
  <pageSetup paperSize="0" orientation="portrait" r:id="rId1"/>
  <ignoredErrors>
    <ignoredError sqref="J133 J20:J27 J124:J126 J51:J59 J61 J70:J111 J2:J13" formulaRange="1"/>
  </ignoredErrors>
  <legacyDrawing r:id="rId2"/>
  <extLst>
    <ext xmlns:x14="http://schemas.microsoft.com/office/spreadsheetml/2009/9/main" uri="{78C0D931-6437-407d-A8EE-F0AAD7539E65}">
      <x14:conditionalFormattings>
        <x14:conditionalFormatting xmlns:xm="http://schemas.microsoft.com/office/excel/2006/main">
          <x14:cfRule type="expression" priority="5" id="{A4CBF869-B420-4BCE-8F6A-FCC0C80CD4D8}">
            <xm:f>Forside!$B$12&gt;75</xm:f>
            <x14:dxf>
              <fill>
                <gradientFill degree="90">
                  <stop position="0">
                    <color rgb="FFE6F0FF"/>
                  </stop>
                  <stop position="1">
                    <color rgb="FFB4C8DC"/>
                  </stop>
                </gradientFill>
              </fill>
            </x14:dxf>
          </x14:cfRule>
          <x14:cfRule type="expression" priority="6" id="{D6DDA4E4-12F3-4519-A200-5A59BE55A1F1}">
            <xm:f>AND(Forside!$B$12&gt;65, Forside!$B$12&lt;75)</xm:f>
            <x14:dxf>
              <fill>
                <gradientFill degree="90">
                  <stop position="0">
                    <color rgb="FFFFE696"/>
                  </stop>
                  <stop position="1">
                    <color rgb="FFCC9903"/>
                  </stop>
                </gradientFill>
              </fill>
            </x14:dxf>
          </x14:cfRule>
          <x14:cfRule type="expression" priority="7" id="{8240ED19-0129-4B5E-8A75-FF9B5016A519}">
            <xm:f>AND(Forside!$B$12&gt;55, Forside!$B$12&lt;65)</xm:f>
            <x14:dxf>
              <fill>
                <gradientFill degree="90">
                  <stop position="0">
                    <color rgb="FFE0E0E0"/>
                  </stop>
                  <stop position="1">
                    <color rgb="FFA0A0A0"/>
                  </stop>
                </gradientFill>
              </fill>
            </x14:dxf>
          </x14:cfRule>
          <x14:cfRule type="expression" priority="8" id="{9C9337A1-BDA4-4A9C-8AA6-326F23690B3E}">
            <xm:f>AND(Forside!$B$12&gt;45, Forside!$B$12&lt;55)</xm:f>
            <x14:dxf>
              <fill>
                <gradientFill degree="90">
                  <stop position="0">
                    <color rgb="FFCD7F32"/>
                  </stop>
                  <stop position="1">
                    <color rgb="FF964B00"/>
                  </stop>
                </gradientFill>
              </fill>
            </x14:dxf>
          </x14:cfRule>
          <xm:sqref>A1:M1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D999-76AE-4B10-BC65-FA865B695B0F}">
  <dimension ref="A1:D1252"/>
  <sheetViews>
    <sheetView topLeftCell="B1" workbookViewId="0">
      <selection activeCell="G12" sqref="G12"/>
    </sheetView>
  </sheetViews>
  <sheetFormatPr defaultRowHeight="50.1" customHeight="1" x14ac:dyDescent="0.25"/>
  <cols>
    <col min="1" max="1" width="62.85546875" hidden="1" customWidth="1"/>
    <col min="3" max="3" width="35.28515625" customWidth="1"/>
    <col min="4" max="4" width="67.5703125" customWidth="1"/>
  </cols>
  <sheetData>
    <row r="1" spans="1:4" ht="50.1" customHeight="1" thickBot="1" x14ac:dyDescent="0.3">
      <c r="B1" s="214" t="s">
        <v>590</v>
      </c>
      <c r="C1" s="214" t="s">
        <v>591</v>
      </c>
      <c r="D1" s="214" t="s">
        <v>257</v>
      </c>
    </row>
    <row r="2" spans="1:4" ht="50.1" customHeight="1" thickBot="1" x14ac:dyDescent="0.3">
      <c r="A2" t="str">
        <f>B2 &amp; " " &amp; C2</f>
        <v>01.11.00 Dyrkning af korn (undtagen ris), bælgfrugter og olieholdige frø</v>
      </c>
      <c r="B2" s="215" t="s">
        <v>592</v>
      </c>
      <c r="C2" s="216" t="s">
        <v>593</v>
      </c>
      <c r="D2" s="216" t="s">
        <v>594</v>
      </c>
    </row>
    <row r="3" spans="1:4" ht="50.1" customHeight="1" thickBot="1" x14ac:dyDescent="0.3">
      <c r="A3" t="str">
        <f t="shared" ref="A3:A66" si="0">B3 &amp; " " &amp; C3</f>
        <v>01.12.00 Dyrkning af ris</v>
      </c>
      <c r="B3" s="215" t="s">
        <v>595</v>
      </c>
      <c r="C3" s="216" t="s">
        <v>596</v>
      </c>
      <c r="D3" s="216" t="s">
        <v>597</v>
      </c>
    </row>
    <row r="4" spans="1:4" ht="50.1" customHeight="1" x14ac:dyDescent="0.25">
      <c r="A4" t="str">
        <f t="shared" si="0"/>
        <v>01.13.00 Dyrkning af grøntsager og meloner, rødder og rodknolde</v>
      </c>
      <c r="B4" s="223" t="s">
        <v>598</v>
      </c>
      <c r="C4" s="226" t="s">
        <v>599</v>
      </c>
      <c r="D4" s="217" t="s">
        <v>600</v>
      </c>
    </row>
    <row r="5" spans="1:4" ht="50.1" customHeight="1" thickBot="1" x14ac:dyDescent="0.3">
      <c r="A5" t="str">
        <f t="shared" si="0"/>
        <v xml:space="preserve"> </v>
      </c>
      <c r="B5" s="225"/>
      <c r="C5" s="228"/>
      <c r="D5" s="219" t="s">
        <v>601</v>
      </c>
    </row>
    <row r="6" spans="1:4" ht="50.1" customHeight="1" x14ac:dyDescent="0.25">
      <c r="A6" t="str">
        <f t="shared" si="0"/>
        <v>01.14.00 Dyrkning af sukkerrør</v>
      </c>
      <c r="B6" s="223" t="s">
        <v>602</v>
      </c>
      <c r="C6" s="226" t="s">
        <v>603</v>
      </c>
      <c r="D6" s="217" t="s">
        <v>604</v>
      </c>
    </row>
    <row r="7" spans="1:4" ht="50.1" customHeight="1" thickBot="1" x14ac:dyDescent="0.3">
      <c r="A7" t="str">
        <f t="shared" si="0"/>
        <v xml:space="preserve"> </v>
      </c>
      <c r="B7" s="225"/>
      <c r="C7" s="228"/>
      <c r="D7" s="219" t="s">
        <v>605</v>
      </c>
    </row>
    <row r="8" spans="1:4" ht="50.1" customHeight="1" thickBot="1" x14ac:dyDescent="0.3">
      <c r="A8" t="str">
        <f t="shared" si="0"/>
        <v>01.15.00 Dyrkning af tobak</v>
      </c>
      <c r="B8" s="215" t="s">
        <v>606</v>
      </c>
      <c r="C8" s="216" t="s">
        <v>607</v>
      </c>
      <c r="D8" s="216" t="s">
        <v>608</v>
      </c>
    </row>
    <row r="9" spans="1:4" ht="50.1" customHeight="1" thickBot="1" x14ac:dyDescent="0.3">
      <c r="A9" t="str">
        <f t="shared" si="0"/>
        <v>01.16.00 Dyrkning af tekstilplanter</v>
      </c>
      <c r="B9" s="215" t="s">
        <v>609</v>
      </c>
      <c r="C9" s="216" t="s">
        <v>610</v>
      </c>
      <c r="D9" s="216" t="s">
        <v>611</v>
      </c>
    </row>
    <row r="10" spans="1:4" ht="50.1" customHeight="1" thickBot="1" x14ac:dyDescent="0.3">
      <c r="A10" t="str">
        <f t="shared" si="0"/>
        <v>01.19.00 Dyrkning af andre etårige afgrøder</v>
      </c>
      <c r="B10" s="215" t="s">
        <v>612</v>
      </c>
      <c r="C10" s="216" t="s">
        <v>613</v>
      </c>
      <c r="D10" s="216" t="s">
        <v>614</v>
      </c>
    </row>
    <row r="11" spans="1:4" ht="50.1" customHeight="1" x14ac:dyDescent="0.25">
      <c r="A11" t="str">
        <f t="shared" si="0"/>
        <v>01.21.00 Dyrkning af druer</v>
      </c>
      <c r="B11" s="223" t="s">
        <v>615</v>
      </c>
      <c r="C11" s="226" t="s">
        <v>616</v>
      </c>
      <c r="D11" s="217" t="s">
        <v>617</v>
      </c>
    </row>
    <row r="12" spans="1:4" ht="50.1" customHeight="1" x14ac:dyDescent="0.25">
      <c r="A12" t="str">
        <f t="shared" si="0"/>
        <v xml:space="preserve"> </v>
      </c>
      <c r="B12" s="224"/>
      <c r="C12" s="227"/>
      <c r="D12" s="218"/>
    </row>
    <row r="13" spans="1:4" ht="50.1" customHeight="1" thickBot="1" x14ac:dyDescent="0.3">
      <c r="A13" t="str">
        <f t="shared" si="0"/>
        <v xml:space="preserve"> </v>
      </c>
      <c r="B13" s="225"/>
      <c r="C13" s="228"/>
      <c r="D13" s="219" t="s">
        <v>618</v>
      </c>
    </row>
    <row r="14" spans="1:4" ht="50.1" customHeight="1" thickBot="1" x14ac:dyDescent="0.3">
      <c r="A14" t="str">
        <f t="shared" si="0"/>
        <v>01.22.00 Dyrkning af tropiske og subtropiske frugter</v>
      </c>
      <c r="B14" s="215" t="s">
        <v>619</v>
      </c>
      <c r="C14" s="216" t="s">
        <v>620</v>
      </c>
      <c r="D14" s="216" t="s">
        <v>621</v>
      </c>
    </row>
    <row r="15" spans="1:4" ht="50.1" customHeight="1" thickBot="1" x14ac:dyDescent="0.3">
      <c r="A15" t="str">
        <f t="shared" si="0"/>
        <v>01.23.00 Dyrkning af citrusfrugter</v>
      </c>
      <c r="B15" s="215" t="s">
        <v>622</v>
      </c>
      <c r="C15" s="216" t="s">
        <v>623</v>
      </c>
      <c r="D15" s="216" t="s">
        <v>624</v>
      </c>
    </row>
    <row r="16" spans="1:4" ht="50.1" customHeight="1" thickBot="1" x14ac:dyDescent="0.3">
      <c r="A16" t="str">
        <f t="shared" si="0"/>
        <v>01.24.00 Dyrkning af kernefrugter og stenfrugter</v>
      </c>
      <c r="B16" s="215" t="s">
        <v>625</v>
      </c>
      <c r="C16" s="216" t="s">
        <v>626</v>
      </c>
      <c r="D16" s="216" t="s">
        <v>627</v>
      </c>
    </row>
    <row r="17" spans="1:4" ht="50.1" customHeight="1" x14ac:dyDescent="0.25">
      <c r="A17" t="str">
        <f t="shared" si="0"/>
        <v>01.25.00 Dyrkning af andre træfrugter, bær og nødder</v>
      </c>
      <c r="B17" s="223" t="s">
        <v>628</v>
      </c>
      <c r="C17" s="226" t="s">
        <v>629</v>
      </c>
      <c r="D17" s="217" t="s">
        <v>630</v>
      </c>
    </row>
    <row r="18" spans="1:4" ht="50.1" customHeight="1" x14ac:dyDescent="0.25">
      <c r="A18" t="str">
        <f t="shared" si="0"/>
        <v xml:space="preserve"> </v>
      </c>
      <c r="B18" s="224"/>
      <c r="C18" s="227"/>
      <c r="D18" s="218"/>
    </row>
    <row r="19" spans="1:4" ht="50.1" customHeight="1" thickBot="1" x14ac:dyDescent="0.3">
      <c r="A19" t="str">
        <f t="shared" si="0"/>
        <v xml:space="preserve"> </v>
      </c>
      <c r="B19" s="225"/>
      <c r="C19" s="228"/>
      <c r="D19" s="219" t="s">
        <v>631</v>
      </c>
    </row>
    <row r="20" spans="1:4" ht="50.1" customHeight="1" x14ac:dyDescent="0.25">
      <c r="A20" t="str">
        <f t="shared" si="0"/>
        <v>01.26.00 Dyrkning af olieholdige frugter</v>
      </c>
      <c r="B20" s="223" t="s">
        <v>632</v>
      </c>
      <c r="C20" s="226" t="s">
        <v>633</v>
      </c>
      <c r="D20" s="217" t="s">
        <v>634</v>
      </c>
    </row>
    <row r="21" spans="1:4" ht="50.1" customHeight="1" x14ac:dyDescent="0.25">
      <c r="A21" t="str">
        <f t="shared" si="0"/>
        <v xml:space="preserve"> </v>
      </c>
      <c r="B21" s="224"/>
      <c r="C21" s="227"/>
      <c r="D21" s="218"/>
    </row>
    <row r="22" spans="1:4" ht="50.1" customHeight="1" thickBot="1" x14ac:dyDescent="0.3">
      <c r="A22" t="str">
        <f t="shared" si="0"/>
        <v xml:space="preserve"> </v>
      </c>
      <c r="B22" s="225"/>
      <c r="C22" s="228"/>
      <c r="D22" s="219" t="s">
        <v>635</v>
      </c>
    </row>
    <row r="23" spans="1:4" ht="50.1" customHeight="1" thickBot="1" x14ac:dyDescent="0.3">
      <c r="A23" t="str">
        <f t="shared" si="0"/>
        <v>01.27.00 Dyrkning af planter til fremstilling af drikkevarer</v>
      </c>
      <c r="B23" s="215" t="s">
        <v>636</v>
      </c>
      <c r="C23" s="216" t="s">
        <v>637</v>
      </c>
      <c r="D23" s="216" t="s">
        <v>638</v>
      </c>
    </row>
    <row r="24" spans="1:4" ht="50.1" customHeight="1" thickBot="1" x14ac:dyDescent="0.3">
      <c r="A24" t="str">
        <f t="shared" si="0"/>
        <v>01.28.00 Dyrkning af krydderiplanter, aromaplanter og lægeplanter</v>
      </c>
      <c r="B24" s="215" t="s">
        <v>639</v>
      </c>
      <c r="C24" s="216" t="s">
        <v>640</v>
      </c>
      <c r="D24" s="216" t="s">
        <v>641</v>
      </c>
    </row>
    <row r="25" spans="1:4" ht="50.1" customHeight="1" thickBot="1" x14ac:dyDescent="0.3">
      <c r="A25" t="str">
        <f t="shared" si="0"/>
        <v>01.29.00 Dyrkning af andre flerårige afgrøder</v>
      </c>
      <c r="B25" s="215" t="s">
        <v>642</v>
      </c>
      <c r="C25" s="216" t="s">
        <v>643</v>
      </c>
      <c r="D25" s="216" t="s">
        <v>644</v>
      </c>
    </row>
    <row r="26" spans="1:4" ht="50.1" customHeight="1" thickBot="1" x14ac:dyDescent="0.3">
      <c r="A26" t="str">
        <f t="shared" si="0"/>
        <v>01.30.00 Planteformering</v>
      </c>
      <c r="B26" s="215" t="s">
        <v>645</v>
      </c>
      <c r="C26" s="216" t="s">
        <v>646</v>
      </c>
      <c r="D26" s="216" t="s">
        <v>647</v>
      </c>
    </row>
    <row r="27" spans="1:4" ht="50.1" customHeight="1" x14ac:dyDescent="0.25">
      <c r="A27" t="str">
        <f t="shared" si="0"/>
        <v>01.41.00 Avl af malkekvæg</v>
      </c>
      <c r="B27" s="223" t="s">
        <v>648</v>
      </c>
      <c r="C27" s="226" t="s">
        <v>649</v>
      </c>
      <c r="D27" s="217" t="s">
        <v>650</v>
      </c>
    </row>
    <row r="28" spans="1:4" ht="50.1" customHeight="1" x14ac:dyDescent="0.25">
      <c r="A28" t="str">
        <f t="shared" si="0"/>
        <v xml:space="preserve"> </v>
      </c>
      <c r="B28" s="224"/>
      <c r="C28" s="227"/>
      <c r="D28" s="218"/>
    </row>
    <row r="29" spans="1:4" ht="50.1" customHeight="1" thickBot="1" x14ac:dyDescent="0.3">
      <c r="A29" t="str">
        <f t="shared" si="0"/>
        <v xml:space="preserve"> </v>
      </c>
      <c r="B29" s="225"/>
      <c r="C29" s="228"/>
      <c r="D29" s="219" t="s">
        <v>651</v>
      </c>
    </row>
    <row r="30" spans="1:4" ht="50.1" customHeight="1" thickBot="1" x14ac:dyDescent="0.3">
      <c r="A30" t="str">
        <f t="shared" si="0"/>
        <v>01.42.00 Avl af andet kvæg og bøfler</v>
      </c>
      <c r="B30" s="215" t="s">
        <v>652</v>
      </c>
      <c r="C30" s="216" t="s">
        <v>653</v>
      </c>
      <c r="D30" s="216" t="s">
        <v>654</v>
      </c>
    </row>
    <row r="31" spans="1:4" ht="50.1" customHeight="1" x14ac:dyDescent="0.25">
      <c r="A31" t="str">
        <f t="shared" si="0"/>
        <v>01.43.00 Avl af heste og dyr af hestefamilien</v>
      </c>
      <c r="B31" s="223" t="s">
        <v>655</v>
      </c>
      <c r="C31" s="226" t="s">
        <v>656</v>
      </c>
      <c r="D31" s="217" t="s">
        <v>657</v>
      </c>
    </row>
    <row r="32" spans="1:4" ht="50.1" customHeight="1" x14ac:dyDescent="0.25">
      <c r="A32" t="str">
        <f t="shared" si="0"/>
        <v xml:space="preserve"> </v>
      </c>
      <c r="B32" s="224"/>
      <c r="C32" s="227"/>
      <c r="D32" s="218"/>
    </row>
    <row r="33" spans="1:4" ht="50.1" customHeight="1" thickBot="1" x14ac:dyDescent="0.3">
      <c r="A33" t="str">
        <f t="shared" si="0"/>
        <v xml:space="preserve"> </v>
      </c>
      <c r="B33" s="225"/>
      <c r="C33" s="228"/>
      <c r="D33" s="219" t="s">
        <v>658</v>
      </c>
    </row>
    <row r="34" spans="1:4" ht="50.1" customHeight="1" thickBot="1" x14ac:dyDescent="0.3">
      <c r="A34" t="str">
        <f t="shared" si="0"/>
        <v>01.44.00 Avl af kameler og dyr af kamelfamilien</v>
      </c>
      <c r="B34" s="215" t="s">
        <v>659</v>
      </c>
      <c r="C34" s="216" t="s">
        <v>660</v>
      </c>
      <c r="D34" s="216" t="s">
        <v>661</v>
      </c>
    </row>
    <row r="35" spans="1:4" ht="50.1" customHeight="1" thickBot="1" x14ac:dyDescent="0.3">
      <c r="A35" t="str">
        <f t="shared" si="0"/>
        <v>01.45.00 Avl af får og geder</v>
      </c>
      <c r="B35" s="215" t="s">
        <v>662</v>
      </c>
      <c r="C35" s="216" t="s">
        <v>663</v>
      </c>
      <c r="D35" s="216" t="s">
        <v>664</v>
      </c>
    </row>
    <row r="36" spans="1:4" ht="50.1" customHeight="1" thickBot="1" x14ac:dyDescent="0.3">
      <c r="A36" t="str">
        <f t="shared" si="0"/>
        <v>01.46.10 Avl af smågrise</v>
      </c>
      <c r="B36" s="215" t="s">
        <v>665</v>
      </c>
      <c r="C36" s="216" t="s">
        <v>666</v>
      </c>
      <c r="D36" s="216" t="s">
        <v>667</v>
      </c>
    </row>
    <row r="37" spans="1:4" ht="50.1" customHeight="1" thickBot="1" x14ac:dyDescent="0.3">
      <c r="A37" t="str">
        <f t="shared" si="0"/>
        <v>01.46.20 Produktion af slagtesvin</v>
      </c>
      <c r="B37" s="215" t="s">
        <v>668</v>
      </c>
      <c r="C37" s="216" t="s">
        <v>669</v>
      </c>
      <c r="D37" s="216" t="s">
        <v>670</v>
      </c>
    </row>
    <row r="38" spans="1:4" ht="50.1" customHeight="1" x14ac:dyDescent="0.25">
      <c r="A38" t="str">
        <f t="shared" si="0"/>
        <v>01.47.00 Fjerkræavl</v>
      </c>
      <c r="B38" s="223" t="s">
        <v>671</v>
      </c>
      <c r="C38" s="226" t="s">
        <v>672</v>
      </c>
      <c r="D38" s="217" t="s">
        <v>673</v>
      </c>
    </row>
    <row r="39" spans="1:4" ht="50.1" customHeight="1" x14ac:dyDescent="0.25">
      <c r="A39" t="str">
        <f t="shared" si="0"/>
        <v xml:space="preserve"> </v>
      </c>
      <c r="B39" s="224"/>
      <c r="C39" s="227"/>
      <c r="D39" s="218"/>
    </row>
    <row r="40" spans="1:4" ht="50.1" customHeight="1" thickBot="1" x14ac:dyDescent="0.3">
      <c r="A40" t="str">
        <f t="shared" si="0"/>
        <v xml:space="preserve"> </v>
      </c>
      <c r="B40" s="225"/>
      <c r="C40" s="228"/>
      <c r="D40" s="219" t="s">
        <v>674</v>
      </c>
    </row>
    <row r="41" spans="1:4" ht="50.1" customHeight="1" thickBot="1" x14ac:dyDescent="0.3">
      <c r="A41" t="str">
        <f t="shared" si="0"/>
        <v>01.48.00 Avl af andre dyr</v>
      </c>
      <c r="B41" s="215" t="s">
        <v>675</v>
      </c>
      <c r="C41" s="216" t="s">
        <v>676</v>
      </c>
      <c r="D41" s="216" t="s">
        <v>677</v>
      </c>
    </row>
    <row r="42" spans="1:4" ht="50.1" customHeight="1" thickBot="1" x14ac:dyDescent="0.3">
      <c r="A42" t="str">
        <f t="shared" si="0"/>
        <v>01.50.00 Blandet landbrugsdrift</v>
      </c>
      <c r="B42" s="215" t="s">
        <v>678</v>
      </c>
      <c r="C42" s="216" t="s">
        <v>679</v>
      </c>
      <c r="D42" s="216" t="s">
        <v>680</v>
      </c>
    </row>
    <row r="43" spans="1:4" ht="50.1" customHeight="1" x14ac:dyDescent="0.25">
      <c r="A43" t="str">
        <f t="shared" si="0"/>
        <v>01.61.00 Støtteaktiviteter i forbindelse med planteavl</v>
      </c>
      <c r="B43" s="223" t="s">
        <v>681</v>
      </c>
      <c r="C43" s="226" t="s">
        <v>682</v>
      </c>
      <c r="D43" s="217" t="s">
        <v>683</v>
      </c>
    </row>
    <row r="44" spans="1:4" ht="50.1" customHeight="1" x14ac:dyDescent="0.25">
      <c r="A44" t="str">
        <f t="shared" si="0"/>
        <v xml:space="preserve"> </v>
      </c>
      <c r="B44" s="224"/>
      <c r="C44" s="227"/>
      <c r="D44" s="218"/>
    </row>
    <row r="45" spans="1:4" ht="50.1" customHeight="1" thickBot="1" x14ac:dyDescent="0.3">
      <c r="A45" t="str">
        <f t="shared" si="0"/>
        <v xml:space="preserve"> </v>
      </c>
      <c r="B45" s="225"/>
      <c r="C45" s="228"/>
      <c r="D45" s="219" t="s">
        <v>684</v>
      </c>
    </row>
    <row r="46" spans="1:4" ht="50.1" customHeight="1" thickBot="1" x14ac:dyDescent="0.3">
      <c r="A46" t="str">
        <f t="shared" si="0"/>
        <v>01.62.00 Støtteaktiviteter i forbindelse med husdyravl</v>
      </c>
      <c r="B46" s="215" t="s">
        <v>685</v>
      </c>
      <c r="C46" s="216" t="s">
        <v>686</v>
      </c>
      <c r="D46" s="216" t="s">
        <v>687</v>
      </c>
    </row>
    <row r="47" spans="1:4" ht="50.1" customHeight="1" thickBot="1" x14ac:dyDescent="0.3">
      <c r="A47" t="str">
        <f t="shared" si="0"/>
        <v>01.63.00 Forarbejdning af afgrøder efter høst af frø/sædekorn til udsæd</v>
      </c>
      <c r="B47" s="215" t="s">
        <v>688</v>
      </c>
      <c r="C47" s="216" t="s">
        <v>689</v>
      </c>
      <c r="D47" s="216" t="s">
        <v>690</v>
      </c>
    </row>
    <row r="48" spans="1:4" ht="50.1" customHeight="1" x14ac:dyDescent="0.25">
      <c r="A48" t="str">
        <f t="shared" si="0"/>
        <v>01.70.00 Jagt, fældefangst og serviceydelser i forbindelse hermed</v>
      </c>
      <c r="B48" s="223" t="s">
        <v>691</v>
      </c>
      <c r="C48" s="226" t="s">
        <v>692</v>
      </c>
      <c r="D48" s="217" t="s">
        <v>693</v>
      </c>
    </row>
    <row r="49" spans="1:4" ht="50.1" customHeight="1" x14ac:dyDescent="0.25">
      <c r="A49" t="str">
        <f t="shared" si="0"/>
        <v xml:space="preserve"> </v>
      </c>
      <c r="B49" s="224"/>
      <c r="C49" s="227"/>
      <c r="D49" s="218"/>
    </row>
    <row r="50" spans="1:4" ht="50.1" customHeight="1" thickBot="1" x14ac:dyDescent="0.3">
      <c r="A50" t="str">
        <f t="shared" si="0"/>
        <v xml:space="preserve"> </v>
      </c>
      <c r="B50" s="225"/>
      <c r="C50" s="228"/>
      <c r="D50" s="219" t="s">
        <v>694</v>
      </c>
    </row>
    <row r="51" spans="1:4" ht="50.1" customHeight="1" x14ac:dyDescent="0.25">
      <c r="A51" t="str">
        <f t="shared" si="0"/>
        <v>02.10.00 Dyrkning af træer og andre skovbrugsaktiviteter</v>
      </c>
      <c r="B51" s="223" t="s">
        <v>695</v>
      </c>
      <c r="C51" s="226" t="s">
        <v>696</v>
      </c>
      <c r="D51" s="217" t="s">
        <v>697</v>
      </c>
    </row>
    <row r="52" spans="1:4" ht="50.1" customHeight="1" x14ac:dyDescent="0.25">
      <c r="A52" t="str">
        <f t="shared" si="0"/>
        <v xml:space="preserve"> </v>
      </c>
      <c r="B52" s="224"/>
      <c r="C52" s="227"/>
      <c r="D52" s="218"/>
    </row>
    <row r="53" spans="1:4" ht="50.1" customHeight="1" thickBot="1" x14ac:dyDescent="0.3">
      <c r="A53" t="str">
        <f t="shared" si="0"/>
        <v xml:space="preserve"> </v>
      </c>
      <c r="B53" s="225"/>
      <c r="C53" s="228"/>
      <c r="D53" s="219" t="s">
        <v>698</v>
      </c>
    </row>
    <row r="54" spans="1:4" ht="50.1" customHeight="1" thickBot="1" x14ac:dyDescent="0.3">
      <c r="A54" t="str">
        <f t="shared" si="0"/>
        <v>02.20.00 Skovning</v>
      </c>
      <c r="B54" s="215" t="s">
        <v>699</v>
      </c>
      <c r="C54" s="216" t="s">
        <v>700</v>
      </c>
      <c r="D54" s="216" t="s">
        <v>701</v>
      </c>
    </row>
    <row r="55" spans="1:4" ht="50.1" customHeight="1" thickBot="1" x14ac:dyDescent="0.3">
      <c r="A55" t="str">
        <f t="shared" si="0"/>
        <v>02.30.00 Indsamling af vildtvoksende forstmateriale, undtagen træer</v>
      </c>
      <c r="B55" s="215" t="s">
        <v>702</v>
      </c>
      <c r="C55" s="216" t="s">
        <v>703</v>
      </c>
      <c r="D55" s="216" t="s">
        <v>704</v>
      </c>
    </row>
    <row r="56" spans="1:4" ht="50.1" customHeight="1" thickBot="1" x14ac:dyDescent="0.3">
      <c r="A56" t="str">
        <f t="shared" si="0"/>
        <v>02.40.00 Støtteaktiviteter i forbindelse med skovbrug</v>
      </c>
      <c r="B56" s="215" t="s">
        <v>705</v>
      </c>
      <c r="C56" s="216" t="s">
        <v>706</v>
      </c>
      <c r="D56" s="216" t="s">
        <v>707</v>
      </c>
    </row>
    <row r="57" spans="1:4" ht="50.1" customHeight="1" thickBot="1" x14ac:dyDescent="0.3">
      <c r="A57" t="str">
        <f t="shared" si="0"/>
        <v>03.11.00 Havfiskeri</v>
      </c>
      <c r="B57" s="215" t="s">
        <v>708</v>
      </c>
      <c r="C57" s="216" t="s">
        <v>709</v>
      </c>
      <c r="D57" s="216" t="s">
        <v>710</v>
      </c>
    </row>
    <row r="58" spans="1:4" ht="50.1" customHeight="1" thickBot="1" x14ac:dyDescent="0.3">
      <c r="A58" t="str">
        <f t="shared" si="0"/>
        <v>03.12.00 Ferskvandsfiskeri</v>
      </c>
      <c r="B58" s="215" t="s">
        <v>711</v>
      </c>
      <c r="C58" s="216" t="s">
        <v>712</v>
      </c>
      <c r="D58" s="216" t="s">
        <v>713</v>
      </c>
    </row>
    <row r="59" spans="1:4" ht="50.1" customHeight="1" thickBot="1" x14ac:dyDescent="0.3">
      <c r="A59" t="str">
        <f t="shared" si="0"/>
        <v>03.21.00 Havbrug</v>
      </c>
      <c r="B59" s="215" t="s">
        <v>714</v>
      </c>
      <c r="C59" s="216" t="s">
        <v>715</v>
      </c>
      <c r="D59" s="216" t="s">
        <v>716</v>
      </c>
    </row>
    <row r="60" spans="1:4" ht="50.1" customHeight="1" thickBot="1" x14ac:dyDescent="0.3">
      <c r="A60" t="str">
        <f t="shared" si="0"/>
        <v>03.22.00 Ferskvandsbrug</v>
      </c>
      <c r="B60" s="215" t="s">
        <v>717</v>
      </c>
      <c r="C60" s="216" t="s">
        <v>718</v>
      </c>
      <c r="D60" s="216" t="s">
        <v>719</v>
      </c>
    </row>
    <row r="61" spans="1:4" ht="50.1" customHeight="1" x14ac:dyDescent="0.25">
      <c r="A61" t="str">
        <f t="shared" si="0"/>
        <v>03.30.00 Støtteaktiviteter i forbindelse med fiskeri og akvakultur</v>
      </c>
      <c r="B61" s="223" t="s">
        <v>720</v>
      </c>
      <c r="C61" s="226" t="s">
        <v>721</v>
      </c>
      <c r="D61" s="217" t="s">
        <v>722</v>
      </c>
    </row>
    <row r="62" spans="1:4" ht="50.1" customHeight="1" x14ac:dyDescent="0.25">
      <c r="A62" t="str">
        <f t="shared" si="0"/>
        <v xml:space="preserve"> </v>
      </c>
      <c r="B62" s="224"/>
      <c r="C62" s="227"/>
      <c r="D62" s="218"/>
    </row>
    <row r="63" spans="1:4" ht="50.1" customHeight="1" thickBot="1" x14ac:dyDescent="0.3">
      <c r="A63" t="str">
        <f t="shared" si="0"/>
        <v xml:space="preserve"> </v>
      </c>
      <c r="B63" s="225"/>
      <c r="C63" s="228"/>
      <c r="D63" s="219" t="s">
        <v>723</v>
      </c>
    </row>
    <row r="64" spans="1:4" ht="50.1" customHeight="1" thickBot="1" x14ac:dyDescent="0.3">
      <c r="A64" t="str">
        <f t="shared" si="0"/>
        <v>05.10.00 Indvinding af stenkul</v>
      </c>
      <c r="B64" s="215" t="s">
        <v>724</v>
      </c>
      <c r="C64" s="216" t="s">
        <v>725</v>
      </c>
      <c r="D64" s="216" t="s">
        <v>726</v>
      </c>
    </row>
    <row r="65" spans="1:4" ht="50.1" customHeight="1" thickBot="1" x14ac:dyDescent="0.3">
      <c r="A65" t="str">
        <f t="shared" si="0"/>
        <v>05.20.00 Indvinding af brunkul</v>
      </c>
      <c r="B65" s="215" t="s">
        <v>727</v>
      </c>
      <c r="C65" s="216" t="s">
        <v>728</v>
      </c>
      <c r="D65" s="216" t="s">
        <v>729</v>
      </c>
    </row>
    <row r="66" spans="1:4" ht="50.1" customHeight="1" x14ac:dyDescent="0.25">
      <c r="A66" t="str">
        <f t="shared" si="0"/>
        <v>06.10.00 Indvinding af råolie</v>
      </c>
      <c r="B66" s="223" t="s">
        <v>730</v>
      </c>
      <c r="C66" s="226" t="s">
        <v>731</v>
      </c>
      <c r="D66" s="217" t="s">
        <v>732</v>
      </c>
    </row>
    <row r="67" spans="1:4" ht="50.1" customHeight="1" x14ac:dyDescent="0.25">
      <c r="A67" t="str">
        <f t="shared" ref="A67:A130" si="1">B67 &amp; " " &amp; C67</f>
        <v xml:space="preserve"> </v>
      </c>
      <c r="B67" s="224"/>
      <c r="C67" s="227"/>
      <c r="D67" s="218"/>
    </row>
    <row r="68" spans="1:4" ht="50.1" customHeight="1" thickBot="1" x14ac:dyDescent="0.3">
      <c r="A68" t="str">
        <f t="shared" si="1"/>
        <v xml:space="preserve"> </v>
      </c>
      <c r="B68" s="225"/>
      <c r="C68" s="228"/>
      <c r="D68" s="219" t="s">
        <v>733</v>
      </c>
    </row>
    <row r="69" spans="1:4" ht="50.1" customHeight="1" thickBot="1" x14ac:dyDescent="0.3">
      <c r="A69" t="str">
        <f t="shared" si="1"/>
        <v>06.20.00 Indvinding af naturgas</v>
      </c>
      <c r="B69" s="215" t="s">
        <v>734</v>
      </c>
      <c r="C69" s="216" t="s">
        <v>735</v>
      </c>
      <c r="D69" s="216" t="s">
        <v>736</v>
      </c>
    </row>
    <row r="70" spans="1:4" ht="50.1" customHeight="1" x14ac:dyDescent="0.25">
      <c r="A70" t="str">
        <f t="shared" si="1"/>
        <v>07.10.00 Brydning af jernmalm</v>
      </c>
      <c r="B70" s="223" t="s">
        <v>737</v>
      </c>
      <c r="C70" s="226" t="s">
        <v>738</v>
      </c>
      <c r="D70" s="217" t="s">
        <v>739</v>
      </c>
    </row>
    <row r="71" spans="1:4" ht="50.1" customHeight="1" x14ac:dyDescent="0.25">
      <c r="A71" t="str">
        <f t="shared" si="1"/>
        <v xml:space="preserve"> </v>
      </c>
      <c r="B71" s="224"/>
      <c r="C71" s="227"/>
      <c r="D71" s="218"/>
    </row>
    <row r="72" spans="1:4" ht="50.1" customHeight="1" thickBot="1" x14ac:dyDescent="0.3">
      <c r="A72" t="str">
        <f t="shared" si="1"/>
        <v xml:space="preserve"> </v>
      </c>
      <c r="B72" s="225"/>
      <c r="C72" s="228"/>
      <c r="D72" s="219" t="s">
        <v>740</v>
      </c>
    </row>
    <row r="73" spans="1:4" ht="50.1" customHeight="1" x14ac:dyDescent="0.25">
      <c r="A73" t="str">
        <f t="shared" si="1"/>
        <v>07.21.00 Brydning af uran- og thoriummalme</v>
      </c>
      <c r="B73" s="223" t="s">
        <v>741</v>
      </c>
      <c r="C73" s="226" t="s">
        <v>742</v>
      </c>
      <c r="D73" s="217" t="s">
        <v>743</v>
      </c>
    </row>
    <row r="74" spans="1:4" ht="50.1" customHeight="1" x14ac:dyDescent="0.25">
      <c r="A74" t="str">
        <f t="shared" si="1"/>
        <v xml:space="preserve"> </v>
      </c>
      <c r="B74" s="224"/>
      <c r="C74" s="227"/>
      <c r="D74" s="218"/>
    </row>
    <row r="75" spans="1:4" ht="50.1" customHeight="1" thickBot="1" x14ac:dyDescent="0.3">
      <c r="A75" t="str">
        <f t="shared" si="1"/>
        <v xml:space="preserve"> </v>
      </c>
      <c r="B75" s="225"/>
      <c r="C75" s="228"/>
      <c r="D75" s="219" t="s">
        <v>744</v>
      </c>
    </row>
    <row r="76" spans="1:4" ht="50.1" customHeight="1" x14ac:dyDescent="0.25">
      <c r="A76" t="str">
        <f t="shared" si="1"/>
        <v>07.29.00 Brydning af andre ikke-jernholdige metalmalme</v>
      </c>
      <c r="B76" s="223" t="s">
        <v>745</v>
      </c>
      <c r="C76" s="226" t="s">
        <v>746</v>
      </c>
      <c r="D76" s="217" t="s">
        <v>747</v>
      </c>
    </row>
    <row r="77" spans="1:4" ht="50.1" customHeight="1" x14ac:dyDescent="0.25">
      <c r="A77" t="str">
        <f t="shared" si="1"/>
        <v xml:space="preserve"> </v>
      </c>
      <c r="B77" s="224"/>
      <c r="C77" s="227"/>
      <c r="D77" s="218"/>
    </row>
    <row r="78" spans="1:4" ht="50.1" customHeight="1" thickBot="1" x14ac:dyDescent="0.3">
      <c r="A78" t="str">
        <f t="shared" si="1"/>
        <v xml:space="preserve"> </v>
      </c>
      <c r="B78" s="225"/>
      <c r="C78" s="228"/>
      <c r="D78" s="219" t="s">
        <v>748</v>
      </c>
    </row>
    <row r="79" spans="1:4" ht="50.1" customHeight="1" thickBot="1" x14ac:dyDescent="0.3">
      <c r="A79" t="str">
        <f t="shared" si="1"/>
        <v>08.11.00 Brydning af pyntesten, kalksten, gips, skifer mv.</v>
      </c>
      <c r="B79" s="215" t="s">
        <v>749</v>
      </c>
      <c r="C79" s="216" t="s">
        <v>750</v>
      </c>
      <c r="D79" s="216" t="s">
        <v>751</v>
      </c>
    </row>
    <row r="80" spans="1:4" ht="50.1" customHeight="1" x14ac:dyDescent="0.25">
      <c r="A80" t="str">
        <f t="shared" si="1"/>
        <v>08.12.00 Grus- og sandgravning og indvinding af ler og kaolin</v>
      </c>
      <c r="B80" s="223" t="s">
        <v>752</v>
      </c>
      <c r="C80" s="226" t="s">
        <v>753</v>
      </c>
      <c r="D80" s="217" t="s">
        <v>754</v>
      </c>
    </row>
    <row r="81" spans="1:4" ht="50.1" customHeight="1" x14ac:dyDescent="0.25">
      <c r="A81" t="str">
        <f t="shared" si="1"/>
        <v xml:space="preserve"> </v>
      </c>
      <c r="B81" s="224"/>
      <c r="C81" s="227"/>
      <c r="D81" s="220"/>
    </row>
    <row r="82" spans="1:4" ht="50.1" customHeight="1" x14ac:dyDescent="0.25">
      <c r="A82" t="str">
        <f t="shared" si="1"/>
        <v xml:space="preserve"> </v>
      </c>
      <c r="B82" s="224"/>
      <c r="C82" s="227"/>
      <c r="D82" s="218" t="s">
        <v>755</v>
      </c>
    </row>
    <row r="83" spans="1:4" ht="50.1" customHeight="1" thickBot="1" x14ac:dyDescent="0.3">
      <c r="A83" t="str">
        <f t="shared" si="1"/>
        <v xml:space="preserve"> </v>
      </c>
      <c r="B83" s="225"/>
      <c r="C83" s="228"/>
      <c r="D83" s="219" t="s">
        <v>756</v>
      </c>
    </row>
    <row r="84" spans="1:4" ht="50.1" customHeight="1" thickBot="1" x14ac:dyDescent="0.3">
      <c r="A84" t="str">
        <f t="shared" si="1"/>
        <v>08.91.00 Indvinding af mineraler til fremstilling af kemiske produkter og gødningsstoffer</v>
      </c>
      <c r="B84" s="215" t="s">
        <v>757</v>
      </c>
      <c r="C84" s="216" t="s">
        <v>758</v>
      </c>
      <c r="D84" s="216" t="s">
        <v>759</v>
      </c>
    </row>
    <row r="85" spans="1:4" ht="50.1" customHeight="1" x14ac:dyDescent="0.25">
      <c r="A85" t="str">
        <f t="shared" si="1"/>
        <v>08.92.00 Indvinding af tørv</v>
      </c>
      <c r="B85" s="223" t="s">
        <v>760</v>
      </c>
      <c r="C85" s="226" t="s">
        <v>761</v>
      </c>
      <c r="D85" s="217" t="s">
        <v>762</v>
      </c>
    </row>
    <row r="86" spans="1:4" ht="50.1" customHeight="1" x14ac:dyDescent="0.25">
      <c r="A86" t="str">
        <f t="shared" si="1"/>
        <v xml:space="preserve"> </v>
      </c>
      <c r="B86" s="224"/>
      <c r="C86" s="227"/>
      <c r="D86" s="218"/>
    </row>
    <row r="87" spans="1:4" ht="50.1" customHeight="1" thickBot="1" x14ac:dyDescent="0.3">
      <c r="A87" t="str">
        <f t="shared" si="1"/>
        <v xml:space="preserve"> </v>
      </c>
      <c r="B87" s="225"/>
      <c r="C87" s="228"/>
      <c r="D87" s="219" t="s">
        <v>763</v>
      </c>
    </row>
    <row r="88" spans="1:4" ht="50.1" customHeight="1" x14ac:dyDescent="0.25">
      <c r="A88" t="str">
        <f t="shared" si="1"/>
        <v>08.93.00 Saltindvinding</v>
      </c>
      <c r="B88" s="223" t="s">
        <v>764</v>
      </c>
      <c r="C88" s="226" t="s">
        <v>765</v>
      </c>
      <c r="D88" s="217" t="s">
        <v>766</v>
      </c>
    </row>
    <row r="89" spans="1:4" ht="50.1" customHeight="1" x14ac:dyDescent="0.25">
      <c r="A89" t="str">
        <f t="shared" si="1"/>
        <v xml:space="preserve"> </v>
      </c>
      <c r="B89" s="224"/>
      <c r="C89" s="227"/>
      <c r="D89" s="218"/>
    </row>
    <row r="90" spans="1:4" ht="50.1" customHeight="1" thickBot="1" x14ac:dyDescent="0.3">
      <c r="A90" t="str">
        <f t="shared" si="1"/>
        <v xml:space="preserve"> </v>
      </c>
      <c r="B90" s="225"/>
      <c r="C90" s="228"/>
      <c r="D90" s="219" t="s">
        <v>767</v>
      </c>
    </row>
    <row r="91" spans="1:4" ht="50.1" customHeight="1" thickBot="1" x14ac:dyDescent="0.3">
      <c r="A91" t="str">
        <f t="shared" si="1"/>
        <v>08.99.00 Anden råstofindvinding i.a.n.</v>
      </c>
      <c r="B91" s="215" t="s">
        <v>768</v>
      </c>
      <c r="C91" s="216" t="s">
        <v>769</v>
      </c>
      <c r="D91" s="216" t="s">
        <v>770</v>
      </c>
    </row>
    <row r="92" spans="1:4" ht="50.1" customHeight="1" x14ac:dyDescent="0.25">
      <c r="A92" t="str">
        <f t="shared" si="1"/>
        <v>09.10.00 Støtteaktiviteter i forbindelse med indvinding af råolie og naturgas</v>
      </c>
      <c r="B92" s="223" t="s">
        <v>771</v>
      </c>
      <c r="C92" s="226" t="s">
        <v>772</v>
      </c>
      <c r="D92" s="217" t="s">
        <v>773</v>
      </c>
    </row>
    <row r="93" spans="1:4" ht="50.1" customHeight="1" x14ac:dyDescent="0.25">
      <c r="A93" t="str">
        <f t="shared" si="1"/>
        <v xml:space="preserve"> </v>
      </c>
      <c r="B93" s="224"/>
      <c r="C93" s="227"/>
      <c r="D93" s="218"/>
    </row>
    <row r="94" spans="1:4" ht="50.1" customHeight="1" thickBot="1" x14ac:dyDescent="0.3">
      <c r="A94" t="str">
        <f t="shared" si="1"/>
        <v xml:space="preserve"> </v>
      </c>
      <c r="B94" s="225"/>
      <c r="C94" s="228"/>
      <c r="D94" s="219" t="s">
        <v>774</v>
      </c>
    </row>
    <row r="95" spans="1:4" ht="50.1" customHeight="1" x14ac:dyDescent="0.25">
      <c r="A95" t="str">
        <f t="shared" si="1"/>
        <v>09.90.00 Støtteaktiviteter i forbindelse med anden råstofindvinding</v>
      </c>
      <c r="B95" s="223" t="s">
        <v>775</v>
      </c>
      <c r="C95" s="226" t="s">
        <v>776</v>
      </c>
      <c r="D95" s="217" t="s">
        <v>777</v>
      </c>
    </row>
    <row r="96" spans="1:4" ht="50.1" customHeight="1" x14ac:dyDescent="0.25">
      <c r="A96" t="str">
        <f t="shared" si="1"/>
        <v xml:space="preserve"> </v>
      </c>
      <c r="B96" s="224"/>
      <c r="C96" s="227"/>
      <c r="D96" s="218"/>
    </row>
    <row r="97" spans="1:4" ht="50.1" customHeight="1" thickBot="1" x14ac:dyDescent="0.3">
      <c r="A97" t="str">
        <f t="shared" si="1"/>
        <v xml:space="preserve"> </v>
      </c>
      <c r="B97" s="225"/>
      <c r="C97" s="228"/>
      <c r="D97" s="219" t="s">
        <v>778</v>
      </c>
    </row>
    <row r="98" spans="1:4" ht="50.1" customHeight="1" thickBot="1" x14ac:dyDescent="0.3">
      <c r="A98" t="str">
        <f t="shared" si="1"/>
        <v>10.11.10 Forarbejdning af svinekød</v>
      </c>
      <c r="B98" s="215" t="s">
        <v>779</v>
      </c>
      <c r="C98" s="216" t="s">
        <v>780</v>
      </c>
      <c r="D98" s="216" t="s">
        <v>781</v>
      </c>
    </row>
    <row r="99" spans="1:4" ht="50.1" customHeight="1" x14ac:dyDescent="0.25">
      <c r="A99" t="str">
        <f t="shared" si="1"/>
        <v>10.11.90 Forarbejdning af andet kød</v>
      </c>
      <c r="B99" s="223" t="s">
        <v>782</v>
      </c>
      <c r="C99" s="226" t="s">
        <v>783</v>
      </c>
      <c r="D99" s="217" t="s">
        <v>784</v>
      </c>
    </row>
    <row r="100" spans="1:4" ht="50.1" customHeight="1" x14ac:dyDescent="0.25">
      <c r="A100" t="str">
        <f t="shared" si="1"/>
        <v xml:space="preserve"> </v>
      </c>
      <c r="B100" s="224"/>
      <c r="C100" s="227"/>
      <c r="D100" s="218"/>
    </row>
    <row r="101" spans="1:4" ht="50.1" customHeight="1" thickBot="1" x14ac:dyDescent="0.3">
      <c r="A101" t="str">
        <f t="shared" si="1"/>
        <v xml:space="preserve"> </v>
      </c>
      <c r="B101" s="225"/>
      <c r="C101" s="228"/>
      <c r="D101" s="219" t="s">
        <v>785</v>
      </c>
    </row>
    <row r="102" spans="1:4" ht="50.1" customHeight="1" thickBot="1" x14ac:dyDescent="0.3">
      <c r="A102" t="str">
        <f t="shared" si="1"/>
        <v>10.12.00 Forarbejdning og konservering af fjerkrækød</v>
      </c>
      <c r="B102" s="215" t="s">
        <v>786</v>
      </c>
      <c r="C102" s="216" t="s">
        <v>787</v>
      </c>
      <c r="D102" s="216" t="s">
        <v>788</v>
      </c>
    </row>
    <row r="103" spans="1:4" ht="50.1" customHeight="1" thickBot="1" x14ac:dyDescent="0.3">
      <c r="A103" t="str">
        <f t="shared" si="1"/>
        <v>10.13.00 Fremstilling af kød- og fjerkrækødprodukter</v>
      </c>
      <c r="B103" s="215" t="s">
        <v>789</v>
      </c>
      <c r="C103" s="216" t="s">
        <v>790</v>
      </c>
      <c r="D103" s="216" t="s">
        <v>791</v>
      </c>
    </row>
    <row r="104" spans="1:4" ht="50.1" customHeight="1" thickBot="1" x14ac:dyDescent="0.3">
      <c r="A104" t="str">
        <f t="shared" si="1"/>
        <v>10.20.10 Fremstilling af fiskemel</v>
      </c>
      <c r="B104" s="215" t="s">
        <v>792</v>
      </c>
      <c r="C104" s="216" t="s">
        <v>793</v>
      </c>
      <c r="D104" s="216" t="s">
        <v>794</v>
      </c>
    </row>
    <row r="105" spans="1:4" ht="50.1" customHeight="1" thickBot="1" x14ac:dyDescent="0.3">
      <c r="A105" t="str">
        <f t="shared" si="1"/>
        <v>10.20.20 Forarbejdning og konservering af fisk, krebsdyr og bløddyr, undtagen fiskemel</v>
      </c>
      <c r="B105" s="215" t="s">
        <v>795</v>
      </c>
      <c r="C105" s="216" t="s">
        <v>796</v>
      </c>
      <c r="D105" s="216" t="s">
        <v>797</v>
      </c>
    </row>
    <row r="106" spans="1:4" ht="50.1" customHeight="1" thickBot="1" x14ac:dyDescent="0.3">
      <c r="A106" t="str">
        <f t="shared" si="1"/>
        <v>10.31.00 Forarbejdning og konservering af kartofler</v>
      </c>
      <c r="B106" s="215" t="s">
        <v>798</v>
      </c>
      <c r="C106" s="216" t="s">
        <v>799</v>
      </c>
      <c r="D106" s="216" t="s">
        <v>800</v>
      </c>
    </row>
    <row r="107" spans="1:4" ht="50.1" customHeight="1" thickBot="1" x14ac:dyDescent="0.3">
      <c r="A107" t="str">
        <f t="shared" si="1"/>
        <v>10.32.00 Fremstilling af frugt- og grøntsagssaft</v>
      </c>
      <c r="B107" s="215" t="s">
        <v>801</v>
      </c>
      <c r="C107" s="216" t="s">
        <v>802</v>
      </c>
      <c r="D107" s="216" t="s">
        <v>803</v>
      </c>
    </row>
    <row r="108" spans="1:4" ht="50.1" customHeight="1" x14ac:dyDescent="0.25">
      <c r="A108" t="str">
        <f t="shared" si="1"/>
        <v>10.39.00 Anden forarbejdning og konservering af frugt og grøntsager</v>
      </c>
      <c r="B108" s="223" t="s">
        <v>804</v>
      </c>
      <c r="C108" s="226" t="s">
        <v>805</v>
      </c>
      <c r="D108" s="217" t="s">
        <v>806</v>
      </c>
    </row>
    <row r="109" spans="1:4" ht="50.1" customHeight="1" x14ac:dyDescent="0.25">
      <c r="A109" t="str">
        <f t="shared" si="1"/>
        <v xml:space="preserve"> </v>
      </c>
      <c r="B109" s="224"/>
      <c r="C109" s="227"/>
      <c r="D109" s="218"/>
    </row>
    <row r="110" spans="1:4" ht="50.1" customHeight="1" thickBot="1" x14ac:dyDescent="0.3">
      <c r="A110" t="str">
        <f t="shared" si="1"/>
        <v xml:space="preserve"> </v>
      </c>
      <c r="B110" s="225"/>
      <c r="C110" s="228"/>
      <c r="D110" s="219" t="s">
        <v>807</v>
      </c>
    </row>
    <row r="111" spans="1:4" ht="50.1" customHeight="1" x14ac:dyDescent="0.25">
      <c r="A111" t="str">
        <f t="shared" si="1"/>
        <v>10.41.00 Fremstilling af olier og fedtstoffer</v>
      </c>
      <c r="B111" s="223" t="s">
        <v>808</v>
      </c>
      <c r="C111" s="226" t="s">
        <v>809</v>
      </c>
      <c r="D111" s="217" t="s">
        <v>810</v>
      </c>
    </row>
    <row r="112" spans="1:4" ht="50.1" customHeight="1" x14ac:dyDescent="0.25">
      <c r="A112" t="str">
        <f t="shared" si="1"/>
        <v xml:space="preserve"> </v>
      </c>
      <c r="B112" s="224"/>
      <c r="C112" s="227"/>
      <c r="D112" s="218"/>
    </row>
    <row r="113" spans="1:4" ht="50.1" customHeight="1" thickBot="1" x14ac:dyDescent="0.3">
      <c r="A113" t="str">
        <f t="shared" si="1"/>
        <v xml:space="preserve"> </v>
      </c>
      <c r="B113" s="225"/>
      <c r="C113" s="228"/>
      <c r="D113" s="219" t="s">
        <v>811</v>
      </c>
    </row>
    <row r="114" spans="1:4" ht="50.1" customHeight="1" thickBot="1" x14ac:dyDescent="0.3">
      <c r="A114" t="str">
        <f t="shared" si="1"/>
        <v>10.42.00 Fremstilling af margarine o.lign. spiselige fedtstoffer</v>
      </c>
      <c r="B114" s="215" t="s">
        <v>812</v>
      </c>
      <c r="C114" s="216" t="s">
        <v>813</v>
      </c>
      <c r="D114" s="216" t="s">
        <v>814</v>
      </c>
    </row>
    <row r="115" spans="1:4" ht="50.1" customHeight="1" x14ac:dyDescent="0.25">
      <c r="A115" t="str">
        <f t="shared" si="1"/>
        <v>10.51.00 Fremstilling af mejeriprodukter</v>
      </c>
      <c r="B115" s="223" t="s">
        <v>815</v>
      </c>
      <c r="C115" s="226" t="s">
        <v>816</v>
      </c>
      <c r="D115" s="217" t="s">
        <v>817</v>
      </c>
    </row>
    <row r="116" spans="1:4" ht="50.1" customHeight="1" x14ac:dyDescent="0.25">
      <c r="A116" t="str">
        <f t="shared" si="1"/>
        <v xml:space="preserve"> </v>
      </c>
      <c r="B116" s="224"/>
      <c r="C116" s="227"/>
      <c r="D116" s="218"/>
    </row>
    <row r="117" spans="1:4" ht="50.1" customHeight="1" thickBot="1" x14ac:dyDescent="0.3">
      <c r="A117" t="str">
        <f t="shared" si="1"/>
        <v xml:space="preserve"> </v>
      </c>
      <c r="B117" s="225"/>
      <c r="C117" s="228"/>
      <c r="D117" s="219" t="s">
        <v>818</v>
      </c>
    </row>
    <row r="118" spans="1:4" ht="50.1" customHeight="1" thickBot="1" x14ac:dyDescent="0.3">
      <c r="A118" t="str">
        <f t="shared" si="1"/>
        <v>10.52.00 Fremstilling af konsumis</v>
      </c>
      <c r="B118" s="215" t="s">
        <v>819</v>
      </c>
      <c r="C118" s="216" t="s">
        <v>820</v>
      </c>
      <c r="D118" s="216" t="s">
        <v>821</v>
      </c>
    </row>
    <row r="119" spans="1:4" ht="50.1" customHeight="1" x14ac:dyDescent="0.25">
      <c r="A119" t="str">
        <f t="shared" si="1"/>
        <v>10.61.00 Fremstilling af mølleriprodukter</v>
      </c>
      <c r="B119" s="223" t="s">
        <v>822</v>
      </c>
      <c r="C119" s="226" t="s">
        <v>823</v>
      </c>
      <c r="D119" s="217" t="s">
        <v>824</v>
      </c>
    </row>
    <row r="120" spans="1:4" ht="50.1" customHeight="1" x14ac:dyDescent="0.25">
      <c r="A120" t="str">
        <f t="shared" si="1"/>
        <v xml:space="preserve"> </v>
      </c>
      <c r="B120" s="224"/>
      <c r="C120" s="227"/>
      <c r="D120" s="218"/>
    </row>
    <row r="121" spans="1:4" ht="50.1" customHeight="1" thickBot="1" x14ac:dyDescent="0.3">
      <c r="A121" t="str">
        <f t="shared" si="1"/>
        <v xml:space="preserve"> </v>
      </c>
      <c r="B121" s="225"/>
      <c r="C121" s="228"/>
      <c r="D121" s="219" t="s">
        <v>825</v>
      </c>
    </row>
    <row r="122" spans="1:4" ht="50.1" customHeight="1" thickBot="1" x14ac:dyDescent="0.3">
      <c r="A122" t="str">
        <f t="shared" si="1"/>
        <v>10.62.00 Fremstilling af stivelse og stivelsesprodukter</v>
      </c>
      <c r="B122" s="215" t="s">
        <v>826</v>
      </c>
      <c r="C122" s="216" t="s">
        <v>827</v>
      </c>
      <c r="D122" s="216" t="s">
        <v>828</v>
      </c>
    </row>
    <row r="123" spans="1:4" ht="50.1" customHeight="1" thickBot="1" x14ac:dyDescent="0.3">
      <c r="A123" t="str">
        <f t="shared" si="1"/>
        <v>10.71.10 Industriel fremstilling af brød og kager mv.</v>
      </c>
      <c r="B123" s="215" t="s">
        <v>829</v>
      </c>
      <c r="C123" s="216" t="s">
        <v>830</v>
      </c>
      <c r="D123" s="216" t="s">
        <v>831</v>
      </c>
    </row>
    <row r="124" spans="1:4" ht="50.1" customHeight="1" x14ac:dyDescent="0.25">
      <c r="A124" t="str">
        <f t="shared" si="1"/>
        <v>10.71.20 Fremstilling af friske bageriprodukter</v>
      </c>
      <c r="B124" s="223" t="s">
        <v>832</v>
      </c>
      <c r="C124" s="226" t="s">
        <v>833</v>
      </c>
      <c r="D124" s="217" t="s">
        <v>834</v>
      </c>
    </row>
    <row r="125" spans="1:4" ht="50.1" customHeight="1" x14ac:dyDescent="0.25">
      <c r="A125" t="str">
        <f t="shared" si="1"/>
        <v xml:space="preserve"> </v>
      </c>
      <c r="B125" s="224"/>
      <c r="C125" s="227"/>
      <c r="D125" s="218"/>
    </row>
    <row r="126" spans="1:4" ht="50.1" customHeight="1" thickBot="1" x14ac:dyDescent="0.3">
      <c r="A126" t="str">
        <f t="shared" si="1"/>
        <v xml:space="preserve"> </v>
      </c>
      <c r="B126" s="225"/>
      <c r="C126" s="228"/>
      <c r="D126" s="219" t="s">
        <v>835</v>
      </c>
    </row>
    <row r="127" spans="1:4" ht="50.1" customHeight="1" thickBot="1" x14ac:dyDescent="0.3">
      <c r="A127" t="str">
        <f t="shared" si="1"/>
        <v>10.72.00 Fremstilling af tvebakker, kiks, konserverede kager, tærter mv.</v>
      </c>
      <c r="B127" s="215" t="s">
        <v>836</v>
      </c>
      <c r="C127" s="216" t="s">
        <v>837</v>
      </c>
      <c r="D127" s="216" t="s">
        <v>838</v>
      </c>
    </row>
    <row r="128" spans="1:4" ht="50.1" customHeight="1" thickBot="1" x14ac:dyDescent="0.3">
      <c r="A128" t="str">
        <f t="shared" si="1"/>
        <v>10.73.00 Fremstilling af dejprodukter</v>
      </c>
      <c r="B128" s="215" t="s">
        <v>839</v>
      </c>
      <c r="C128" s="216" t="s">
        <v>840</v>
      </c>
      <c r="D128" s="216" t="s">
        <v>841</v>
      </c>
    </row>
    <row r="129" spans="1:4" ht="50.1" customHeight="1" thickBot="1" x14ac:dyDescent="0.3">
      <c r="A129" t="str">
        <f t="shared" si="1"/>
        <v>10.81.00 Fremstilling af sukker</v>
      </c>
      <c r="B129" s="215" t="s">
        <v>842</v>
      </c>
      <c r="C129" s="216" t="s">
        <v>843</v>
      </c>
      <c r="D129" s="216" t="s">
        <v>844</v>
      </c>
    </row>
    <row r="130" spans="1:4" ht="50.1" customHeight="1" thickBot="1" x14ac:dyDescent="0.3">
      <c r="A130" t="str">
        <f t="shared" si="1"/>
        <v>10.82.00 Fremstilling af kakao, chokolade og sukkervarer</v>
      </c>
      <c r="B130" s="215" t="s">
        <v>845</v>
      </c>
      <c r="C130" s="216" t="s">
        <v>846</v>
      </c>
      <c r="D130" s="216" t="s">
        <v>847</v>
      </c>
    </row>
    <row r="131" spans="1:4" ht="50.1" customHeight="1" thickBot="1" x14ac:dyDescent="0.3">
      <c r="A131" t="str">
        <f t="shared" ref="A131:A194" si="2">B131 &amp; " " &amp; C131</f>
        <v>10.83.00 Forarbejdning af te og kaffe</v>
      </c>
      <c r="B131" s="215" t="s">
        <v>848</v>
      </c>
      <c r="C131" s="216" t="s">
        <v>849</v>
      </c>
      <c r="D131" s="216" t="s">
        <v>850</v>
      </c>
    </row>
    <row r="132" spans="1:4" ht="50.1" customHeight="1" thickBot="1" x14ac:dyDescent="0.3">
      <c r="A132" t="str">
        <f t="shared" si="2"/>
        <v>10.84.00 Fremstilling af smagspræparater og krydderier</v>
      </c>
      <c r="B132" s="215" t="s">
        <v>851</v>
      </c>
      <c r="C132" s="216" t="s">
        <v>852</v>
      </c>
      <c r="D132" s="216" t="s">
        <v>853</v>
      </c>
    </row>
    <row r="133" spans="1:4" ht="50.1" customHeight="1" thickBot="1" x14ac:dyDescent="0.3">
      <c r="A133" t="str">
        <f t="shared" si="2"/>
        <v>10.85.00 Fremstilling af færdigretter</v>
      </c>
      <c r="B133" s="215" t="s">
        <v>854</v>
      </c>
      <c r="C133" s="216" t="s">
        <v>855</v>
      </c>
      <c r="D133" s="216" t="s">
        <v>856</v>
      </c>
    </row>
    <row r="134" spans="1:4" ht="50.1" customHeight="1" thickBot="1" x14ac:dyDescent="0.3">
      <c r="A134" t="str">
        <f t="shared" si="2"/>
        <v>10.86.00 Fremstilling af homogeniserede produkter og diætmad</v>
      </c>
      <c r="B134" s="215" t="s">
        <v>857</v>
      </c>
      <c r="C134" s="216" t="s">
        <v>858</v>
      </c>
      <c r="D134" s="216" t="s">
        <v>859</v>
      </c>
    </row>
    <row r="135" spans="1:4" ht="50.1" customHeight="1" x14ac:dyDescent="0.25">
      <c r="A135" t="str">
        <f t="shared" si="2"/>
        <v>10.89.00 Fremstilling af andre fødevarer i.a.n.</v>
      </c>
      <c r="B135" s="223" t="s">
        <v>860</v>
      </c>
      <c r="C135" s="226" t="s">
        <v>861</v>
      </c>
      <c r="D135" s="217" t="s">
        <v>862</v>
      </c>
    </row>
    <row r="136" spans="1:4" ht="50.1" customHeight="1" x14ac:dyDescent="0.25">
      <c r="A136" t="str">
        <f t="shared" si="2"/>
        <v xml:space="preserve"> </v>
      </c>
      <c r="B136" s="224"/>
      <c r="C136" s="227"/>
      <c r="D136" s="218"/>
    </row>
    <row r="137" spans="1:4" ht="50.1" customHeight="1" thickBot="1" x14ac:dyDescent="0.3">
      <c r="A137" t="str">
        <f t="shared" si="2"/>
        <v xml:space="preserve"> </v>
      </c>
      <c r="B137" s="225"/>
      <c r="C137" s="228"/>
      <c r="D137" s="219" t="s">
        <v>863</v>
      </c>
    </row>
    <row r="138" spans="1:4" ht="50.1" customHeight="1" x14ac:dyDescent="0.25">
      <c r="A138" t="str">
        <f t="shared" si="2"/>
        <v>10.91.00 Fremstilling af færdige foderblandinger til landbrugsdyr</v>
      </c>
      <c r="B138" s="223" t="s">
        <v>864</v>
      </c>
      <c r="C138" s="226" t="s">
        <v>865</v>
      </c>
      <c r="D138" s="217" t="s">
        <v>866</v>
      </c>
    </row>
    <row r="139" spans="1:4" ht="50.1" customHeight="1" x14ac:dyDescent="0.25">
      <c r="A139" t="str">
        <f t="shared" si="2"/>
        <v xml:space="preserve"> </v>
      </c>
      <c r="B139" s="224"/>
      <c r="C139" s="227"/>
      <c r="D139" s="218"/>
    </row>
    <row r="140" spans="1:4" ht="50.1" customHeight="1" thickBot="1" x14ac:dyDescent="0.3">
      <c r="A140" t="str">
        <f t="shared" si="2"/>
        <v xml:space="preserve"> </v>
      </c>
      <c r="B140" s="225"/>
      <c r="C140" s="228"/>
      <c r="D140" s="219" t="s">
        <v>867</v>
      </c>
    </row>
    <row r="141" spans="1:4" ht="50.1" customHeight="1" thickBot="1" x14ac:dyDescent="0.3">
      <c r="A141" t="str">
        <f t="shared" si="2"/>
        <v>10.92.00 Fremstilling af færdige foderblandinger til kæledyr</v>
      </c>
      <c r="B141" s="215" t="s">
        <v>868</v>
      </c>
      <c r="C141" s="216" t="s">
        <v>869</v>
      </c>
      <c r="D141" s="216" t="s">
        <v>870</v>
      </c>
    </row>
    <row r="142" spans="1:4" ht="50.1" customHeight="1" thickBot="1" x14ac:dyDescent="0.3">
      <c r="A142" t="str">
        <f t="shared" si="2"/>
        <v>11.01.00 Destillation, rektifikation og blanding af alkohol</v>
      </c>
      <c r="B142" s="215" t="s">
        <v>871</v>
      </c>
      <c r="C142" s="216" t="s">
        <v>872</v>
      </c>
      <c r="D142" s="216" t="s">
        <v>873</v>
      </c>
    </row>
    <row r="143" spans="1:4" ht="50.1" customHeight="1" x14ac:dyDescent="0.25">
      <c r="A143" t="str">
        <f t="shared" si="2"/>
        <v>11.02.00 Fremstilling af vin af druer</v>
      </c>
      <c r="B143" s="223" t="s">
        <v>874</v>
      </c>
      <c r="C143" s="226" t="s">
        <v>875</v>
      </c>
      <c r="D143" s="217" t="s">
        <v>876</v>
      </c>
    </row>
    <row r="144" spans="1:4" ht="50.1" customHeight="1" x14ac:dyDescent="0.25">
      <c r="A144" t="str">
        <f t="shared" si="2"/>
        <v xml:space="preserve"> </v>
      </c>
      <c r="B144" s="224"/>
      <c r="C144" s="227"/>
      <c r="D144" s="218"/>
    </row>
    <row r="145" spans="1:4" ht="50.1" customHeight="1" thickBot="1" x14ac:dyDescent="0.3">
      <c r="A145" t="str">
        <f t="shared" si="2"/>
        <v xml:space="preserve"> </v>
      </c>
      <c r="B145" s="225"/>
      <c r="C145" s="228"/>
      <c r="D145" s="219" t="s">
        <v>877</v>
      </c>
    </row>
    <row r="146" spans="1:4" ht="50.1" customHeight="1" thickBot="1" x14ac:dyDescent="0.3">
      <c r="A146" t="str">
        <f t="shared" si="2"/>
        <v>11.03.00 Fremstilling af cider og andre gærede drikkevarer af frugt</v>
      </c>
      <c r="B146" s="215" t="s">
        <v>878</v>
      </c>
      <c r="C146" s="216" t="s">
        <v>879</v>
      </c>
      <c r="D146" s="216" t="s">
        <v>880</v>
      </c>
    </row>
    <row r="147" spans="1:4" ht="50.1" customHeight="1" thickBot="1" x14ac:dyDescent="0.3">
      <c r="A147" t="str">
        <f t="shared" si="2"/>
        <v>11.04.00 Fremstilling af andre ikke-destillerede gærede drikkevarer</v>
      </c>
      <c r="B147" s="215" t="s">
        <v>881</v>
      </c>
      <c r="C147" s="216" t="s">
        <v>882</v>
      </c>
      <c r="D147" s="216" t="s">
        <v>883</v>
      </c>
    </row>
    <row r="148" spans="1:4" ht="50.1" customHeight="1" thickBot="1" x14ac:dyDescent="0.3">
      <c r="A148" t="str">
        <f t="shared" si="2"/>
        <v>11.05.00 Fremstilling af øl</v>
      </c>
      <c r="B148" s="215" t="s">
        <v>884</v>
      </c>
      <c r="C148" s="216" t="s">
        <v>885</v>
      </c>
      <c r="D148" s="216" t="s">
        <v>886</v>
      </c>
    </row>
    <row r="149" spans="1:4" ht="50.1" customHeight="1" thickBot="1" x14ac:dyDescent="0.3">
      <c r="A149" t="str">
        <f t="shared" si="2"/>
        <v>11.06.00 Fremstilling af malt</v>
      </c>
      <c r="B149" s="215" t="s">
        <v>887</v>
      </c>
      <c r="C149" s="216" t="s">
        <v>888</v>
      </c>
      <c r="D149" s="216" t="s">
        <v>889</v>
      </c>
    </row>
    <row r="150" spans="1:4" ht="50.1" customHeight="1" x14ac:dyDescent="0.25">
      <c r="A150" t="str">
        <f t="shared" si="2"/>
        <v>11.07.00 Fremstilling af læskedrikke og vand på flaske</v>
      </c>
      <c r="B150" s="223" t="s">
        <v>890</v>
      </c>
      <c r="C150" s="226" t="s">
        <v>891</v>
      </c>
      <c r="D150" s="217" t="s">
        <v>892</v>
      </c>
    </row>
    <row r="151" spans="1:4" ht="50.1" customHeight="1" x14ac:dyDescent="0.25">
      <c r="A151" t="str">
        <f t="shared" si="2"/>
        <v xml:space="preserve"> </v>
      </c>
      <c r="B151" s="224"/>
      <c r="C151" s="227"/>
      <c r="D151" s="218"/>
    </row>
    <row r="152" spans="1:4" ht="50.1" customHeight="1" thickBot="1" x14ac:dyDescent="0.3">
      <c r="A152" t="str">
        <f t="shared" si="2"/>
        <v xml:space="preserve"> </v>
      </c>
      <c r="B152" s="225"/>
      <c r="C152" s="228"/>
      <c r="D152" s="219" t="s">
        <v>893</v>
      </c>
    </row>
    <row r="153" spans="1:4" ht="50.1" customHeight="1" x14ac:dyDescent="0.25">
      <c r="A153" t="str">
        <f t="shared" si="2"/>
        <v>12.00.00 Fremstilling af tobaksvarer</v>
      </c>
      <c r="B153" s="223" t="s">
        <v>894</v>
      </c>
      <c r="C153" s="226" t="s">
        <v>895</v>
      </c>
      <c r="D153" s="217" t="s">
        <v>896</v>
      </c>
    </row>
    <row r="154" spans="1:4" ht="50.1" customHeight="1" x14ac:dyDescent="0.25">
      <c r="A154" t="str">
        <f t="shared" si="2"/>
        <v xml:space="preserve"> </v>
      </c>
      <c r="B154" s="224"/>
      <c r="C154" s="227"/>
      <c r="D154" s="218"/>
    </row>
    <row r="155" spans="1:4" ht="50.1" customHeight="1" thickBot="1" x14ac:dyDescent="0.3">
      <c r="A155" t="str">
        <f t="shared" si="2"/>
        <v xml:space="preserve"> </v>
      </c>
      <c r="B155" s="225"/>
      <c r="C155" s="228"/>
      <c r="D155" s="219" t="s">
        <v>897</v>
      </c>
    </row>
    <row r="156" spans="1:4" ht="50.1" customHeight="1" x14ac:dyDescent="0.25">
      <c r="A156" t="str">
        <f t="shared" si="2"/>
        <v>13.10.00 Forbehandling og spinding af tekstilfibre</v>
      </c>
      <c r="B156" s="223" t="s">
        <v>898</v>
      </c>
      <c r="C156" s="226" t="s">
        <v>899</v>
      </c>
      <c r="D156" s="217" t="s">
        <v>900</v>
      </c>
    </row>
    <row r="157" spans="1:4" ht="50.1" customHeight="1" x14ac:dyDescent="0.25">
      <c r="A157" t="str">
        <f t="shared" si="2"/>
        <v xml:space="preserve"> </v>
      </c>
      <c r="B157" s="224"/>
      <c r="C157" s="227"/>
      <c r="D157" s="218"/>
    </row>
    <row r="158" spans="1:4" ht="50.1" customHeight="1" thickBot="1" x14ac:dyDescent="0.3">
      <c r="A158" t="str">
        <f t="shared" si="2"/>
        <v xml:space="preserve"> </v>
      </c>
      <c r="B158" s="225"/>
      <c r="C158" s="228"/>
      <c r="D158" s="219" t="s">
        <v>901</v>
      </c>
    </row>
    <row r="159" spans="1:4" ht="50.1" customHeight="1" thickBot="1" x14ac:dyDescent="0.3">
      <c r="A159" t="str">
        <f t="shared" si="2"/>
        <v>13.20.00 Vævning af tekstiler</v>
      </c>
      <c r="B159" s="215" t="s">
        <v>902</v>
      </c>
      <c r="C159" s="216" t="s">
        <v>903</v>
      </c>
      <c r="D159" s="216" t="s">
        <v>904</v>
      </c>
    </row>
    <row r="160" spans="1:4" ht="50.1" customHeight="1" x14ac:dyDescent="0.25">
      <c r="A160" t="str">
        <f t="shared" si="2"/>
        <v>13.30.00 Efterbehandling af tekstiler</v>
      </c>
      <c r="B160" s="223" t="s">
        <v>905</v>
      </c>
      <c r="C160" s="226" t="s">
        <v>906</v>
      </c>
      <c r="D160" s="217" t="s">
        <v>907</v>
      </c>
    </row>
    <row r="161" spans="1:4" ht="50.1" customHeight="1" x14ac:dyDescent="0.25">
      <c r="A161" t="str">
        <f t="shared" si="2"/>
        <v xml:space="preserve"> </v>
      </c>
      <c r="B161" s="224"/>
      <c r="C161" s="227"/>
      <c r="D161" s="218"/>
    </row>
    <row r="162" spans="1:4" ht="50.1" customHeight="1" thickBot="1" x14ac:dyDescent="0.3">
      <c r="A162" t="str">
        <f t="shared" si="2"/>
        <v xml:space="preserve"> </v>
      </c>
      <c r="B162" s="225"/>
      <c r="C162" s="228"/>
      <c r="D162" s="219" t="s">
        <v>908</v>
      </c>
    </row>
    <row r="163" spans="1:4" ht="50.1" customHeight="1" thickBot="1" x14ac:dyDescent="0.3">
      <c r="A163" t="str">
        <f t="shared" si="2"/>
        <v>13.91.00 Fremstilling af trikotagestoffer</v>
      </c>
      <c r="B163" s="215" t="s">
        <v>909</v>
      </c>
      <c r="C163" s="216" t="s">
        <v>910</v>
      </c>
      <c r="D163" s="216" t="s">
        <v>911</v>
      </c>
    </row>
    <row r="164" spans="1:4" ht="50.1" customHeight="1" x14ac:dyDescent="0.25">
      <c r="A164" t="str">
        <f t="shared" si="2"/>
        <v>13.92.00 Fremstilling af tekstiler til husholdningsbrug og færdige boligtekstiler</v>
      </c>
      <c r="B164" s="223" t="s">
        <v>912</v>
      </c>
      <c r="C164" s="226" t="s">
        <v>913</v>
      </c>
      <c r="D164" s="217" t="s">
        <v>914</v>
      </c>
    </row>
    <row r="165" spans="1:4" ht="50.1" customHeight="1" x14ac:dyDescent="0.25">
      <c r="A165" t="str">
        <f t="shared" si="2"/>
        <v xml:space="preserve"> </v>
      </c>
      <c r="B165" s="224"/>
      <c r="C165" s="227"/>
      <c r="D165" s="218"/>
    </row>
    <row r="166" spans="1:4" ht="50.1" customHeight="1" thickBot="1" x14ac:dyDescent="0.3">
      <c r="A166" t="str">
        <f t="shared" si="2"/>
        <v xml:space="preserve"> </v>
      </c>
      <c r="B166" s="225"/>
      <c r="C166" s="228"/>
      <c r="D166" s="219" t="s">
        <v>915</v>
      </c>
    </row>
    <row r="167" spans="1:4" ht="50.1" customHeight="1" thickBot="1" x14ac:dyDescent="0.3">
      <c r="A167" t="str">
        <f t="shared" si="2"/>
        <v>13.93.00 Fremstilling af gulvtæpper og -måtter</v>
      </c>
      <c r="B167" s="215" t="s">
        <v>916</v>
      </c>
      <c r="C167" s="216" t="s">
        <v>917</v>
      </c>
      <c r="D167" s="216" t="s">
        <v>918</v>
      </c>
    </row>
    <row r="168" spans="1:4" ht="50.1" customHeight="1" x14ac:dyDescent="0.25">
      <c r="A168" t="str">
        <f t="shared" si="2"/>
        <v>13.94.00 Fremstilling af reb, tovværk, sejlgarn og netstoffer</v>
      </c>
      <c r="B168" s="223" t="s">
        <v>919</v>
      </c>
      <c r="C168" s="226" t="s">
        <v>920</v>
      </c>
      <c r="D168" s="217" t="s">
        <v>921</v>
      </c>
    </row>
    <row r="169" spans="1:4" ht="50.1" customHeight="1" x14ac:dyDescent="0.25">
      <c r="A169" t="str">
        <f t="shared" si="2"/>
        <v xml:space="preserve"> </v>
      </c>
      <c r="B169" s="224"/>
      <c r="C169" s="227"/>
      <c r="D169" s="218"/>
    </row>
    <row r="170" spans="1:4" ht="50.1" customHeight="1" thickBot="1" x14ac:dyDescent="0.3">
      <c r="A170" t="str">
        <f t="shared" si="2"/>
        <v xml:space="preserve"> </v>
      </c>
      <c r="B170" s="225"/>
      <c r="C170" s="228"/>
      <c r="D170" s="219" t="s">
        <v>922</v>
      </c>
    </row>
    <row r="171" spans="1:4" ht="50.1" customHeight="1" thickBot="1" x14ac:dyDescent="0.3">
      <c r="A171" t="str">
        <f t="shared" si="2"/>
        <v>13.95.00 Fremstilling af fiberdug og varer af fiberdug</v>
      </c>
      <c r="B171" s="215" t="s">
        <v>923</v>
      </c>
      <c r="C171" s="216" t="s">
        <v>924</v>
      </c>
      <c r="D171" s="216" t="s">
        <v>925</v>
      </c>
    </row>
    <row r="172" spans="1:4" ht="50.1" customHeight="1" x14ac:dyDescent="0.25">
      <c r="A172" t="str">
        <f t="shared" si="2"/>
        <v>13.96.00 Fremstilling af andre tekniske og industrielle tekstiler</v>
      </c>
      <c r="B172" s="223" t="s">
        <v>926</v>
      </c>
      <c r="C172" s="226" t="s">
        <v>927</v>
      </c>
      <c r="D172" s="217" t="s">
        <v>928</v>
      </c>
    </row>
    <row r="173" spans="1:4" ht="50.1" customHeight="1" x14ac:dyDescent="0.25">
      <c r="A173" t="str">
        <f t="shared" si="2"/>
        <v xml:space="preserve"> </v>
      </c>
      <c r="B173" s="224"/>
      <c r="C173" s="227"/>
      <c r="D173" s="218"/>
    </row>
    <row r="174" spans="1:4" ht="50.1" customHeight="1" thickBot="1" x14ac:dyDescent="0.3">
      <c r="A174" t="str">
        <f t="shared" si="2"/>
        <v xml:space="preserve"> </v>
      </c>
      <c r="B174" s="225"/>
      <c r="C174" s="228"/>
      <c r="D174" s="219" t="s">
        <v>929</v>
      </c>
    </row>
    <row r="175" spans="1:4" ht="50.1" customHeight="1" thickBot="1" x14ac:dyDescent="0.3">
      <c r="A175" t="str">
        <f t="shared" si="2"/>
        <v>13.99.00 Fremstilling af andre tekstiler i.a.n.</v>
      </c>
      <c r="B175" s="215" t="s">
        <v>930</v>
      </c>
      <c r="C175" s="216" t="s">
        <v>931</v>
      </c>
      <c r="D175" s="216" t="s">
        <v>932</v>
      </c>
    </row>
    <row r="176" spans="1:4" ht="50.1" customHeight="1" thickBot="1" x14ac:dyDescent="0.3">
      <c r="A176" t="str">
        <f t="shared" si="2"/>
        <v>14.10.00 Fremstilling af strikkede og hæklede beklædningsartikler</v>
      </c>
      <c r="B176" s="215" t="s">
        <v>933</v>
      </c>
      <c r="C176" s="216" t="s">
        <v>934</v>
      </c>
      <c r="D176" s="216" t="s">
        <v>935</v>
      </c>
    </row>
    <row r="177" spans="1:4" ht="50.1" customHeight="1" x14ac:dyDescent="0.25">
      <c r="A177" t="str">
        <f t="shared" si="2"/>
        <v>14.21.00 Fremstilling af yderbeklædning</v>
      </c>
      <c r="B177" s="223" t="s">
        <v>936</v>
      </c>
      <c r="C177" s="226" t="s">
        <v>937</v>
      </c>
      <c r="D177" s="217" t="s">
        <v>938</v>
      </c>
    </row>
    <row r="178" spans="1:4" ht="50.1" customHeight="1" x14ac:dyDescent="0.25">
      <c r="A178" t="str">
        <f t="shared" si="2"/>
        <v xml:space="preserve"> </v>
      </c>
      <c r="B178" s="224"/>
      <c r="C178" s="227"/>
      <c r="D178" s="218"/>
    </row>
    <row r="179" spans="1:4" ht="50.1" customHeight="1" thickBot="1" x14ac:dyDescent="0.3">
      <c r="A179" t="str">
        <f t="shared" si="2"/>
        <v xml:space="preserve"> </v>
      </c>
      <c r="B179" s="225"/>
      <c r="C179" s="228"/>
      <c r="D179" s="219" t="s">
        <v>939</v>
      </c>
    </row>
    <row r="180" spans="1:4" ht="50.1" customHeight="1" thickBot="1" x14ac:dyDescent="0.3">
      <c r="A180" t="str">
        <f t="shared" si="2"/>
        <v>14.22.00 Fremstilling af underbeklædning</v>
      </c>
      <c r="B180" s="215" t="s">
        <v>940</v>
      </c>
      <c r="C180" s="216" t="s">
        <v>941</v>
      </c>
      <c r="D180" s="216" t="s">
        <v>942</v>
      </c>
    </row>
    <row r="181" spans="1:4" ht="50.1" customHeight="1" thickBot="1" x14ac:dyDescent="0.3">
      <c r="A181" t="str">
        <f t="shared" si="2"/>
        <v>14.23.00 Fremstilling af arbejdsbeklædning</v>
      </c>
      <c r="B181" s="215" t="s">
        <v>943</v>
      </c>
      <c r="C181" s="216" t="s">
        <v>944</v>
      </c>
      <c r="D181" s="216" t="s">
        <v>945</v>
      </c>
    </row>
    <row r="182" spans="1:4" ht="50.1" customHeight="1" thickBot="1" x14ac:dyDescent="0.3">
      <c r="A182" t="str">
        <f t="shared" si="2"/>
        <v>14.24.00 Fremstilling af beklædningsartikler af læder og pelsskind</v>
      </c>
      <c r="B182" s="215" t="s">
        <v>946</v>
      </c>
      <c r="C182" s="216" t="s">
        <v>947</v>
      </c>
      <c r="D182" s="216" t="s">
        <v>948</v>
      </c>
    </row>
    <row r="183" spans="1:4" ht="50.1" customHeight="1" thickBot="1" x14ac:dyDescent="0.3">
      <c r="A183" t="str">
        <f t="shared" si="2"/>
        <v>14.29.00 Fremstilling af andre beklædningsartikler samt tilbehør i.a.n.</v>
      </c>
      <c r="B183" s="215" t="s">
        <v>949</v>
      </c>
      <c r="C183" s="216" t="s">
        <v>950</v>
      </c>
      <c r="D183" s="216" t="s">
        <v>951</v>
      </c>
    </row>
    <row r="184" spans="1:4" ht="50.1" customHeight="1" thickBot="1" x14ac:dyDescent="0.3">
      <c r="A184" t="str">
        <f t="shared" si="2"/>
        <v>15.11.00 Garvning, beredning og farvning af læder og pelsskind</v>
      </c>
      <c r="B184" s="215" t="s">
        <v>952</v>
      </c>
      <c r="C184" s="216" t="s">
        <v>953</v>
      </c>
      <c r="D184" s="216" t="s">
        <v>954</v>
      </c>
    </row>
    <row r="185" spans="1:4" ht="50.1" customHeight="1" thickBot="1" x14ac:dyDescent="0.3">
      <c r="A185" t="str">
        <f t="shared" si="2"/>
        <v>15.12.00 Fremstilling af tasker, kufferter, sadelmagervarer mv., uanset materialets art</v>
      </c>
      <c r="B185" s="215" t="s">
        <v>955</v>
      </c>
      <c r="C185" s="216" t="s">
        <v>956</v>
      </c>
      <c r="D185" s="216" t="s">
        <v>957</v>
      </c>
    </row>
    <row r="186" spans="1:4" ht="50.1" customHeight="1" x14ac:dyDescent="0.25">
      <c r="A186" t="str">
        <f t="shared" si="2"/>
        <v>15.20.00 Fremstilling af fodtøj</v>
      </c>
      <c r="B186" s="223" t="s">
        <v>958</v>
      </c>
      <c r="C186" s="226" t="s">
        <v>959</v>
      </c>
      <c r="D186" s="217" t="s">
        <v>960</v>
      </c>
    </row>
    <row r="187" spans="1:4" ht="50.1" customHeight="1" x14ac:dyDescent="0.25">
      <c r="A187" t="str">
        <f t="shared" si="2"/>
        <v xml:space="preserve"> </v>
      </c>
      <c r="B187" s="224"/>
      <c r="C187" s="227"/>
      <c r="D187" s="218"/>
    </row>
    <row r="188" spans="1:4" ht="50.1" customHeight="1" thickBot="1" x14ac:dyDescent="0.3">
      <c r="A188" t="str">
        <f t="shared" si="2"/>
        <v xml:space="preserve"> </v>
      </c>
      <c r="B188" s="225"/>
      <c r="C188" s="228"/>
      <c r="D188" s="219" t="s">
        <v>961</v>
      </c>
    </row>
    <row r="189" spans="1:4" ht="50.1" customHeight="1" x14ac:dyDescent="0.25">
      <c r="A189" t="str">
        <f t="shared" si="2"/>
        <v>16.11.00 Udsavning og høvling af træ</v>
      </c>
      <c r="B189" s="223" t="s">
        <v>962</v>
      </c>
      <c r="C189" s="226" t="s">
        <v>963</v>
      </c>
      <c r="D189" s="217" t="s">
        <v>964</v>
      </c>
    </row>
    <row r="190" spans="1:4" ht="50.1" customHeight="1" x14ac:dyDescent="0.25">
      <c r="A190" t="str">
        <f t="shared" si="2"/>
        <v xml:space="preserve"> </v>
      </c>
      <c r="B190" s="224"/>
      <c r="C190" s="227"/>
      <c r="D190" s="218"/>
    </row>
    <row r="191" spans="1:4" ht="50.1" customHeight="1" thickBot="1" x14ac:dyDescent="0.3">
      <c r="A191" t="str">
        <f t="shared" si="2"/>
        <v xml:space="preserve"> </v>
      </c>
      <c r="B191" s="225"/>
      <c r="C191" s="228"/>
      <c r="D191" s="219" t="s">
        <v>965</v>
      </c>
    </row>
    <row r="192" spans="1:4" ht="50.1" customHeight="1" x14ac:dyDescent="0.25">
      <c r="A192" t="str">
        <f t="shared" si="2"/>
        <v>16.12.00 Forarbejdning og færdigbearbejdning af træ</v>
      </c>
      <c r="B192" s="223" t="s">
        <v>966</v>
      </c>
      <c r="C192" s="226" t="s">
        <v>967</v>
      </c>
      <c r="D192" s="217" t="s">
        <v>968</v>
      </c>
    </row>
    <row r="193" spans="1:4" ht="50.1" customHeight="1" x14ac:dyDescent="0.25">
      <c r="A193" t="str">
        <f t="shared" si="2"/>
        <v xml:space="preserve"> </v>
      </c>
      <c r="B193" s="224"/>
      <c r="C193" s="227"/>
      <c r="D193" s="218"/>
    </row>
    <row r="194" spans="1:4" ht="50.1" customHeight="1" thickBot="1" x14ac:dyDescent="0.3">
      <c r="A194" t="str">
        <f t="shared" si="2"/>
        <v xml:space="preserve"> </v>
      </c>
      <c r="B194" s="225"/>
      <c r="C194" s="228"/>
      <c r="D194" s="219" t="s">
        <v>969</v>
      </c>
    </row>
    <row r="195" spans="1:4" ht="50.1" customHeight="1" thickBot="1" x14ac:dyDescent="0.3">
      <c r="A195" t="str">
        <f t="shared" ref="A195:A258" si="3">B195 &amp; " " &amp; C195</f>
        <v>16.21.00 Fremstilling af finerplader og træbaserede plader</v>
      </c>
      <c r="B195" s="215" t="s">
        <v>970</v>
      </c>
      <c r="C195" s="216" t="s">
        <v>971</v>
      </c>
      <c r="D195" s="216" t="s">
        <v>972</v>
      </c>
    </row>
    <row r="196" spans="1:4" ht="50.1" customHeight="1" thickBot="1" x14ac:dyDescent="0.3">
      <c r="A196" t="str">
        <f t="shared" si="3"/>
        <v>16.22.00 Fremstilling af sammensatte parketstave</v>
      </c>
      <c r="B196" s="215" t="s">
        <v>973</v>
      </c>
      <c r="C196" s="216" t="s">
        <v>974</v>
      </c>
      <c r="D196" s="216" t="s">
        <v>975</v>
      </c>
    </row>
    <row r="197" spans="1:4" ht="50.1" customHeight="1" thickBot="1" x14ac:dyDescent="0.3">
      <c r="A197" t="str">
        <f t="shared" si="3"/>
        <v>16.23.00 Fremstilling af bygningstømmer og snedkeriartikler i øvrigt</v>
      </c>
      <c r="B197" s="215" t="s">
        <v>976</v>
      </c>
      <c r="C197" s="216" t="s">
        <v>977</v>
      </c>
      <c r="D197" s="216" t="s">
        <v>978</v>
      </c>
    </row>
    <row r="198" spans="1:4" ht="50.1" customHeight="1" thickBot="1" x14ac:dyDescent="0.3">
      <c r="A198" t="str">
        <f t="shared" si="3"/>
        <v>16.24.00 Fremstilling af træemballage</v>
      </c>
      <c r="B198" s="215" t="s">
        <v>979</v>
      </c>
      <c r="C198" s="216" t="s">
        <v>980</v>
      </c>
      <c r="D198" s="216" t="s">
        <v>981</v>
      </c>
    </row>
    <row r="199" spans="1:4" ht="50.1" customHeight="1" thickBot="1" x14ac:dyDescent="0.3">
      <c r="A199" t="str">
        <f t="shared" si="3"/>
        <v>16.25.00 Fremstilling af døre og vinduer af træ</v>
      </c>
      <c r="B199" s="215" t="s">
        <v>982</v>
      </c>
      <c r="C199" s="216" t="s">
        <v>983</v>
      </c>
      <c r="D199" s="216" t="s">
        <v>984</v>
      </c>
    </row>
    <row r="200" spans="1:4" ht="50.1" customHeight="1" x14ac:dyDescent="0.25">
      <c r="A200" t="str">
        <f t="shared" si="3"/>
        <v>16.26.00 Fremstilling af fast brændsel på basis af vegetabilsk biomasse</v>
      </c>
      <c r="B200" s="223" t="s">
        <v>985</v>
      </c>
      <c r="C200" s="226" t="s">
        <v>986</v>
      </c>
      <c r="D200" s="217" t="s">
        <v>987</v>
      </c>
    </row>
    <row r="201" spans="1:4" ht="50.1" customHeight="1" x14ac:dyDescent="0.25">
      <c r="A201" t="str">
        <f t="shared" si="3"/>
        <v xml:space="preserve"> </v>
      </c>
      <c r="B201" s="224"/>
      <c r="C201" s="227"/>
      <c r="D201" s="218"/>
    </row>
    <row r="202" spans="1:4" ht="50.1" customHeight="1" thickBot="1" x14ac:dyDescent="0.3">
      <c r="A202" t="str">
        <f t="shared" si="3"/>
        <v xml:space="preserve"> </v>
      </c>
      <c r="B202" s="225"/>
      <c r="C202" s="228"/>
      <c r="D202" s="219" t="s">
        <v>988</v>
      </c>
    </row>
    <row r="203" spans="1:4" ht="50.1" customHeight="1" x14ac:dyDescent="0.25">
      <c r="A203" t="str">
        <f t="shared" si="3"/>
        <v>16.27.00 Færdigbearbejdning af trævarer</v>
      </c>
      <c r="B203" s="223" t="s">
        <v>989</v>
      </c>
      <c r="C203" s="226" t="s">
        <v>990</v>
      </c>
      <c r="D203" s="217" t="s">
        <v>991</v>
      </c>
    </row>
    <row r="204" spans="1:4" ht="50.1" customHeight="1" x14ac:dyDescent="0.25">
      <c r="A204" t="str">
        <f t="shared" si="3"/>
        <v xml:space="preserve"> </v>
      </c>
      <c r="B204" s="224"/>
      <c r="C204" s="227"/>
      <c r="D204" s="218"/>
    </row>
    <row r="205" spans="1:4" ht="50.1" customHeight="1" thickBot="1" x14ac:dyDescent="0.3">
      <c r="A205" t="str">
        <f t="shared" si="3"/>
        <v xml:space="preserve"> </v>
      </c>
      <c r="B205" s="225"/>
      <c r="C205" s="228"/>
      <c r="D205" s="219" t="s">
        <v>992</v>
      </c>
    </row>
    <row r="206" spans="1:4" ht="50.1" customHeight="1" x14ac:dyDescent="0.25">
      <c r="A206" t="str">
        <f t="shared" si="3"/>
        <v>16.28.00 Fremstilling af andre trævarer og varer af kork, strå og flettematerialer</v>
      </c>
      <c r="B206" s="223" t="s">
        <v>993</v>
      </c>
      <c r="C206" s="226" t="s">
        <v>994</v>
      </c>
      <c r="D206" s="217" t="s">
        <v>995</v>
      </c>
    </row>
    <row r="207" spans="1:4" ht="50.1" customHeight="1" x14ac:dyDescent="0.25">
      <c r="A207" t="str">
        <f t="shared" si="3"/>
        <v xml:space="preserve"> </v>
      </c>
      <c r="B207" s="224"/>
      <c r="C207" s="227"/>
      <c r="D207" s="218"/>
    </row>
    <row r="208" spans="1:4" ht="50.1" customHeight="1" thickBot="1" x14ac:dyDescent="0.3">
      <c r="A208" t="str">
        <f t="shared" si="3"/>
        <v xml:space="preserve"> </v>
      </c>
      <c r="B208" s="225"/>
      <c r="C208" s="228"/>
      <c r="D208" s="219" t="s">
        <v>996</v>
      </c>
    </row>
    <row r="209" spans="1:4" ht="50.1" customHeight="1" thickBot="1" x14ac:dyDescent="0.3">
      <c r="A209" t="str">
        <f t="shared" si="3"/>
        <v>17.11.00 Fremstilling af papirmasse</v>
      </c>
      <c r="B209" s="215" t="s">
        <v>997</v>
      </c>
      <c r="C209" s="216" t="s">
        <v>998</v>
      </c>
      <c r="D209" s="216" t="s">
        <v>999</v>
      </c>
    </row>
    <row r="210" spans="1:4" ht="50.1" customHeight="1" x14ac:dyDescent="0.25">
      <c r="A210" t="str">
        <f t="shared" si="3"/>
        <v>17.12.00 Fremstilling af papir og pap</v>
      </c>
      <c r="B210" s="223" t="s">
        <v>1000</v>
      </c>
      <c r="C210" s="226" t="s">
        <v>1001</v>
      </c>
      <c r="D210" s="217" t="s">
        <v>1002</v>
      </c>
    </row>
    <row r="211" spans="1:4" ht="50.1" customHeight="1" x14ac:dyDescent="0.25">
      <c r="A211" t="str">
        <f t="shared" si="3"/>
        <v xml:space="preserve"> </v>
      </c>
      <c r="B211" s="224"/>
      <c r="C211" s="227"/>
      <c r="D211" s="218"/>
    </row>
    <row r="212" spans="1:4" ht="50.1" customHeight="1" thickBot="1" x14ac:dyDescent="0.3">
      <c r="A212" t="str">
        <f t="shared" si="3"/>
        <v xml:space="preserve"> </v>
      </c>
      <c r="B212" s="225"/>
      <c r="C212" s="228"/>
      <c r="D212" s="219" t="s">
        <v>1003</v>
      </c>
    </row>
    <row r="213" spans="1:4" ht="50.1" customHeight="1" x14ac:dyDescent="0.25">
      <c r="A213" t="str">
        <f t="shared" si="3"/>
        <v>17.21.00 Fremstilling af bølgepap, pap og emballage af papir og pap</v>
      </c>
      <c r="B213" s="223" t="s">
        <v>1004</v>
      </c>
      <c r="C213" s="226" t="s">
        <v>1005</v>
      </c>
      <c r="D213" s="217" t="s">
        <v>1006</v>
      </c>
    </row>
    <row r="214" spans="1:4" ht="50.1" customHeight="1" x14ac:dyDescent="0.25">
      <c r="A214" t="str">
        <f t="shared" si="3"/>
        <v xml:space="preserve"> </v>
      </c>
      <c r="B214" s="224"/>
      <c r="C214" s="227"/>
      <c r="D214" s="218"/>
    </row>
    <row r="215" spans="1:4" ht="50.1" customHeight="1" thickBot="1" x14ac:dyDescent="0.3">
      <c r="A215" t="str">
        <f t="shared" si="3"/>
        <v xml:space="preserve"> </v>
      </c>
      <c r="B215" s="225"/>
      <c r="C215" s="228"/>
      <c r="D215" s="219" t="s">
        <v>1007</v>
      </c>
    </row>
    <row r="216" spans="1:4" ht="50.1" customHeight="1" thickBot="1" x14ac:dyDescent="0.3">
      <c r="A216" t="str">
        <f t="shared" si="3"/>
        <v>17.22.00 Fremstilling af husholdningsartikler og hygiejneartikler samt toiletartikler af papir og pap</v>
      </c>
      <c r="B216" s="215" t="s">
        <v>1008</v>
      </c>
      <c r="C216" s="216" t="s">
        <v>1009</v>
      </c>
      <c r="D216" s="216" t="s">
        <v>1010</v>
      </c>
    </row>
    <row r="217" spans="1:4" ht="50.1" customHeight="1" thickBot="1" x14ac:dyDescent="0.3">
      <c r="A217" t="str">
        <f t="shared" si="3"/>
        <v>17.23.00 Fremstilling af kontorartikler af papir</v>
      </c>
      <c r="B217" s="215" t="s">
        <v>1011</v>
      </c>
      <c r="C217" s="216" t="s">
        <v>1012</v>
      </c>
      <c r="D217" s="216" t="s">
        <v>1013</v>
      </c>
    </row>
    <row r="218" spans="1:4" ht="50.1" customHeight="1" x14ac:dyDescent="0.25">
      <c r="A218" t="str">
        <f t="shared" si="3"/>
        <v>17.24.00 Fremstilling af tapet</v>
      </c>
      <c r="B218" s="223" t="s">
        <v>1014</v>
      </c>
      <c r="C218" s="226" t="s">
        <v>1015</v>
      </c>
      <c r="D218" s="217" t="s">
        <v>1016</v>
      </c>
    </row>
    <row r="219" spans="1:4" ht="50.1" customHeight="1" x14ac:dyDescent="0.25">
      <c r="A219" t="str">
        <f t="shared" si="3"/>
        <v xml:space="preserve"> </v>
      </c>
      <c r="B219" s="224"/>
      <c r="C219" s="227"/>
      <c r="D219" s="218"/>
    </row>
    <row r="220" spans="1:4" ht="50.1" customHeight="1" thickBot="1" x14ac:dyDescent="0.3">
      <c r="A220" t="str">
        <f t="shared" si="3"/>
        <v xml:space="preserve"> </v>
      </c>
      <c r="B220" s="225"/>
      <c r="C220" s="228"/>
      <c r="D220" s="219" t="s">
        <v>1017</v>
      </c>
    </row>
    <row r="221" spans="1:4" ht="50.1" customHeight="1" thickBot="1" x14ac:dyDescent="0.3">
      <c r="A221" t="str">
        <f t="shared" si="3"/>
        <v>17.25.00 Fremstilling af andre papir- og papvarer</v>
      </c>
      <c r="B221" s="215" t="s">
        <v>1018</v>
      </c>
      <c r="C221" s="216" t="s">
        <v>1019</v>
      </c>
      <c r="D221" s="216" t="s">
        <v>1020</v>
      </c>
    </row>
    <row r="222" spans="1:4" ht="50.1" customHeight="1" thickBot="1" x14ac:dyDescent="0.3">
      <c r="A222" t="str">
        <f t="shared" si="3"/>
        <v>18.11.00 Trykning af dagblade</v>
      </c>
      <c r="B222" s="215" t="s">
        <v>1021</v>
      </c>
      <c r="C222" s="216" t="s">
        <v>1022</v>
      </c>
      <c r="D222" s="216" t="s">
        <v>1023</v>
      </c>
    </row>
    <row r="223" spans="1:4" ht="50.1" customHeight="1" thickBot="1" x14ac:dyDescent="0.3">
      <c r="A223" t="str">
        <f t="shared" si="3"/>
        <v>18.12.00 Anden trykning</v>
      </c>
      <c r="B223" s="215" t="s">
        <v>1024</v>
      </c>
      <c r="C223" s="216" t="s">
        <v>1025</v>
      </c>
      <c r="D223" s="216" t="s">
        <v>1026</v>
      </c>
    </row>
    <row r="224" spans="1:4" ht="50.1" customHeight="1" thickBot="1" x14ac:dyDescent="0.3">
      <c r="A224" t="str">
        <f t="shared" si="3"/>
        <v>18.13.00 Prepress- og premedia-arbejde</v>
      </c>
      <c r="B224" s="215" t="s">
        <v>1027</v>
      </c>
      <c r="C224" s="216" t="s">
        <v>1028</v>
      </c>
      <c r="D224" s="216" t="s">
        <v>1029</v>
      </c>
    </row>
    <row r="225" spans="1:4" ht="50.1" customHeight="1" thickBot="1" x14ac:dyDescent="0.3">
      <c r="A225" t="str">
        <f t="shared" si="3"/>
        <v>18.14.00 Bogbinding og lignende serviceydelser</v>
      </c>
      <c r="B225" s="215" t="s">
        <v>1030</v>
      </c>
      <c r="C225" s="216" t="s">
        <v>1031</v>
      </c>
      <c r="D225" s="216" t="s">
        <v>1032</v>
      </c>
    </row>
    <row r="226" spans="1:4" ht="50.1" customHeight="1" x14ac:dyDescent="0.25">
      <c r="A226" t="str">
        <f t="shared" si="3"/>
        <v>18.20.00 Reproduktion af indspillede medier</v>
      </c>
      <c r="B226" s="223" t="s">
        <v>1033</v>
      </c>
      <c r="C226" s="226" t="s">
        <v>1034</v>
      </c>
      <c r="D226" s="217" t="s">
        <v>1035</v>
      </c>
    </row>
    <row r="227" spans="1:4" ht="50.1" customHeight="1" x14ac:dyDescent="0.25">
      <c r="A227" t="str">
        <f t="shared" si="3"/>
        <v xml:space="preserve"> </v>
      </c>
      <c r="B227" s="224"/>
      <c r="C227" s="227"/>
      <c r="D227" s="218"/>
    </row>
    <row r="228" spans="1:4" ht="50.1" customHeight="1" thickBot="1" x14ac:dyDescent="0.3">
      <c r="A228" t="str">
        <f t="shared" si="3"/>
        <v xml:space="preserve"> </v>
      </c>
      <c r="B228" s="225"/>
      <c r="C228" s="228"/>
      <c r="D228" s="219" t="s">
        <v>1036</v>
      </c>
    </row>
    <row r="229" spans="1:4" ht="50.1" customHeight="1" x14ac:dyDescent="0.25">
      <c r="A229" t="str">
        <f t="shared" si="3"/>
        <v>19.10.00 Fremstilling af koksovnsprodukter</v>
      </c>
      <c r="B229" s="223" t="s">
        <v>1037</v>
      </c>
      <c r="C229" s="226" t="s">
        <v>1038</v>
      </c>
      <c r="D229" s="217" t="s">
        <v>1039</v>
      </c>
    </row>
    <row r="230" spans="1:4" ht="50.1" customHeight="1" x14ac:dyDescent="0.25">
      <c r="A230" t="str">
        <f t="shared" si="3"/>
        <v xml:space="preserve"> </v>
      </c>
      <c r="B230" s="224"/>
      <c r="C230" s="227"/>
      <c r="D230" s="218"/>
    </row>
    <row r="231" spans="1:4" ht="50.1" customHeight="1" thickBot="1" x14ac:dyDescent="0.3">
      <c r="A231" t="str">
        <f t="shared" si="3"/>
        <v xml:space="preserve"> </v>
      </c>
      <c r="B231" s="225"/>
      <c r="C231" s="228"/>
      <c r="D231" s="219" t="s">
        <v>1040</v>
      </c>
    </row>
    <row r="232" spans="1:4" ht="50.1" customHeight="1" x14ac:dyDescent="0.25">
      <c r="A232" t="str">
        <f t="shared" si="3"/>
        <v>19.20.00 Fremstilling af raffinerede mineralolieprodukter og fossile brændstoffer</v>
      </c>
      <c r="B232" s="223" t="s">
        <v>1041</v>
      </c>
      <c r="C232" s="226" t="s">
        <v>1042</v>
      </c>
      <c r="D232" s="217" t="s">
        <v>1043</v>
      </c>
    </row>
    <row r="233" spans="1:4" ht="50.1" customHeight="1" x14ac:dyDescent="0.25">
      <c r="A233" t="str">
        <f t="shared" si="3"/>
        <v xml:space="preserve"> </v>
      </c>
      <c r="B233" s="224"/>
      <c r="C233" s="227"/>
      <c r="D233" s="218"/>
    </row>
    <row r="234" spans="1:4" ht="50.1" customHeight="1" thickBot="1" x14ac:dyDescent="0.3">
      <c r="A234" t="str">
        <f t="shared" si="3"/>
        <v xml:space="preserve"> </v>
      </c>
      <c r="B234" s="225"/>
      <c r="C234" s="228"/>
      <c r="D234" s="219" t="s">
        <v>1044</v>
      </c>
    </row>
    <row r="235" spans="1:4" ht="50.1" customHeight="1" x14ac:dyDescent="0.25">
      <c r="A235" t="str">
        <f t="shared" si="3"/>
        <v>20.11.00 Fremstilling af industrigasser</v>
      </c>
      <c r="B235" s="223" t="s">
        <v>1045</v>
      </c>
      <c r="C235" s="226" t="s">
        <v>1046</v>
      </c>
      <c r="D235" s="217" t="s">
        <v>1047</v>
      </c>
    </row>
    <row r="236" spans="1:4" ht="50.1" customHeight="1" x14ac:dyDescent="0.25">
      <c r="A236" t="str">
        <f t="shared" si="3"/>
        <v xml:space="preserve"> </v>
      </c>
      <c r="B236" s="224"/>
      <c r="C236" s="227"/>
      <c r="D236" s="218"/>
    </row>
    <row r="237" spans="1:4" ht="50.1" customHeight="1" thickBot="1" x14ac:dyDescent="0.3">
      <c r="A237" t="str">
        <f t="shared" si="3"/>
        <v xml:space="preserve"> </v>
      </c>
      <c r="B237" s="225"/>
      <c r="C237" s="228"/>
      <c r="D237" s="219" t="s">
        <v>1048</v>
      </c>
    </row>
    <row r="238" spans="1:4" ht="50.1" customHeight="1" x14ac:dyDescent="0.25">
      <c r="A238" t="str">
        <f t="shared" si="3"/>
        <v>20.12.00 Fremstilling af farvestoffer og pigmenter</v>
      </c>
      <c r="B238" s="223" t="s">
        <v>1049</v>
      </c>
      <c r="C238" s="226" t="s">
        <v>1050</v>
      </c>
      <c r="D238" s="217" t="s">
        <v>1051</v>
      </c>
    </row>
    <row r="239" spans="1:4" ht="50.1" customHeight="1" x14ac:dyDescent="0.25">
      <c r="A239" t="str">
        <f t="shared" si="3"/>
        <v xml:space="preserve"> </v>
      </c>
      <c r="B239" s="224"/>
      <c r="C239" s="227"/>
      <c r="D239" s="218"/>
    </row>
    <row r="240" spans="1:4" ht="50.1" customHeight="1" thickBot="1" x14ac:dyDescent="0.3">
      <c r="A240" t="str">
        <f t="shared" si="3"/>
        <v xml:space="preserve"> </v>
      </c>
      <c r="B240" s="225"/>
      <c r="C240" s="228"/>
      <c r="D240" s="219" t="s">
        <v>1052</v>
      </c>
    </row>
    <row r="241" spans="1:4" ht="50.1" customHeight="1" thickBot="1" x14ac:dyDescent="0.3">
      <c r="A241" t="str">
        <f t="shared" si="3"/>
        <v>20.13.00 Fremstilling af andre uorganiske basiskemikalier</v>
      </c>
      <c r="B241" s="215" t="s">
        <v>1053</v>
      </c>
      <c r="C241" s="216" t="s">
        <v>1054</v>
      </c>
      <c r="D241" s="216" t="s">
        <v>1055</v>
      </c>
    </row>
    <row r="242" spans="1:4" ht="50.1" customHeight="1" x14ac:dyDescent="0.25">
      <c r="A242" t="str">
        <f t="shared" si="3"/>
        <v>20.14.00 Fremstilling af andre organiske basiskemikalier</v>
      </c>
      <c r="B242" s="223" t="s">
        <v>1056</v>
      </c>
      <c r="C242" s="226" t="s">
        <v>1057</v>
      </c>
      <c r="D242" s="217" t="s">
        <v>1058</v>
      </c>
    </row>
    <row r="243" spans="1:4" ht="50.1" customHeight="1" x14ac:dyDescent="0.25">
      <c r="A243" t="str">
        <f t="shared" si="3"/>
        <v xml:space="preserve"> </v>
      </c>
      <c r="B243" s="224"/>
      <c r="C243" s="227"/>
      <c r="D243" s="218"/>
    </row>
    <row r="244" spans="1:4" ht="50.1" customHeight="1" thickBot="1" x14ac:dyDescent="0.3">
      <c r="A244" t="str">
        <f t="shared" si="3"/>
        <v xml:space="preserve"> </v>
      </c>
      <c r="B244" s="225"/>
      <c r="C244" s="228"/>
      <c r="D244" s="219" t="s">
        <v>1059</v>
      </c>
    </row>
    <row r="245" spans="1:4" ht="50.1" customHeight="1" thickBot="1" x14ac:dyDescent="0.3">
      <c r="A245" t="str">
        <f t="shared" si="3"/>
        <v>20.15.00 Fremstilling af gødningsstoffer og nitrogenprodukter</v>
      </c>
      <c r="B245" s="215" t="s">
        <v>1060</v>
      </c>
      <c r="C245" s="216" t="s">
        <v>1061</v>
      </c>
      <c r="D245" s="216" t="s">
        <v>1062</v>
      </c>
    </row>
    <row r="246" spans="1:4" ht="50.1" customHeight="1" thickBot="1" x14ac:dyDescent="0.3">
      <c r="A246" t="str">
        <f t="shared" si="3"/>
        <v>20.16.00 Fremstilling af plast i ubearbejdet form</v>
      </c>
      <c r="B246" s="215" t="s">
        <v>1063</v>
      </c>
      <c r="C246" s="216" t="s">
        <v>1064</v>
      </c>
      <c r="D246" s="216" t="s">
        <v>1065</v>
      </c>
    </row>
    <row r="247" spans="1:4" ht="50.1" customHeight="1" thickBot="1" x14ac:dyDescent="0.3">
      <c r="A247" t="str">
        <f t="shared" si="3"/>
        <v>20.17.00 Fremstilling af syntetisk gummi i ubearbejdet form</v>
      </c>
      <c r="B247" s="215" t="s">
        <v>1066</v>
      </c>
      <c r="C247" s="216" t="s">
        <v>1067</v>
      </c>
      <c r="D247" s="216" t="s">
        <v>1068</v>
      </c>
    </row>
    <row r="248" spans="1:4" ht="50.1" customHeight="1" thickBot="1" x14ac:dyDescent="0.3">
      <c r="A248" t="str">
        <f t="shared" si="3"/>
        <v>20.20.00 Fremstilling af pesticider, desinfektionsmidler og andre agrokemiske produkter</v>
      </c>
      <c r="B248" s="215" t="s">
        <v>1069</v>
      </c>
      <c r="C248" s="216" t="s">
        <v>1070</v>
      </c>
      <c r="D248" s="216" t="s">
        <v>1071</v>
      </c>
    </row>
    <row r="249" spans="1:4" ht="50.1" customHeight="1" x14ac:dyDescent="0.25">
      <c r="A249" t="str">
        <f t="shared" si="3"/>
        <v>20.30.00 Fremstilling af maling, lak og lignende overfladebehandlingsmidler, trykfarver samt tætningsmaterialer</v>
      </c>
      <c r="B249" s="223" t="s">
        <v>1072</v>
      </c>
      <c r="C249" s="226" t="s">
        <v>1073</v>
      </c>
      <c r="D249" s="217" t="s">
        <v>1074</v>
      </c>
    </row>
    <row r="250" spans="1:4" ht="50.1" customHeight="1" x14ac:dyDescent="0.25">
      <c r="A250" t="str">
        <f t="shared" si="3"/>
        <v xml:space="preserve"> </v>
      </c>
      <c r="B250" s="224"/>
      <c r="C250" s="227"/>
      <c r="D250" s="218"/>
    </row>
    <row r="251" spans="1:4" ht="50.1" customHeight="1" thickBot="1" x14ac:dyDescent="0.3">
      <c r="A251" t="str">
        <f t="shared" si="3"/>
        <v xml:space="preserve"> </v>
      </c>
      <c r="B251" s="225"/>
      <c r="C251" s="228"/>
      <c r="D251" s="219" t="s">
        <v>1075</v>
      </c>
    </row>
    <row r="252" spans="1:4" ht="50.1" customHeight="1" x14ac:dyDescent="0.25">
      <c r="A252" t="str">
        <f t="shared" si="3"/>
        <v>20.41.00 Fremstilling af sæbe, rengørings- og rensemidler samt poleremidler</v>
      </c>
      <c r="B252" s="223" t="s">
        <v>1076</v>
      </c>
      <c r="C252" s="226" t="s">
        <v>1077</v>
      </c>
      <c r="D252" s="217" t="s">
        <v>1078</v>
      </c>
    </row>
    <row r="253" spans="1:4" ht="50.1" customHeight="1" x14ac:dyDescent="0.25">
      <c r="A253" t="str">
        <f t="shared" si="3"/>
        <v xml:space="preserve"> </v>
      </c>
      <c r="B253" s="224"/>
      <c r="C253" s="227"/>
      <c r="D253" s="218"/>
    </row>
    <row r="254" spans="1:4" ht="50.1" customHeight="1" thickBot="1" x14ac:dyDescent="0.3">
      <c r="A254" t="str">
        <f t="shared" si="3"/>
        <v xml:space="preserve"> </v>
      </c>
      <c r="B254" s="225"/>
      <c r="C254" s="228"/>
      <c r="D254" s="219" t="s">
        <v>1079</v>
      </c>
    </row>
    <row r="255" spans="1:4" ht="50.1" customHeight="1" thickBot="1" x14ac:dyDescent="0.3">
      <c r="A255" t="str">
        <f t="shared" si="3"/>
        <v>20.42.00 Fremstilling af parfume, hårshampoo, tandpasta mv.</v>
      </c>
      <c r="B255" s="215" t="s">
        <v>1080</v>
      </c>
      <c r="C255" s="216" t="s">
        <v>1081</v>
      </c>
      <c r="D255" s="216" t="s">
        <v>1082</v>
      </c>
    </row>
    <row r="256" spans="1:4" ht="50.1" customHeight="1" thickBot="1" x14ac:dyDescent="0.3">
      <c r="A256" t="str">
        <f t="shared" si="3"/>
        <v>20.51.00 Fremstilling af flydende biobrændstoffer</v>
      </c>
      <c r="B256" s="215" t="s">
        <v>1083</v>
      </c>
      <c r="C256" s="216" t="s">
        <v>1084</v>
      </c>
      <c r="D256" s="216" t="s">
        <v>1085</v>
      </c>
    </row>
    <row r="257" spans="1:4" ht="50.1" customHeight="1" thickBot="1" x14ac:dyDescent="0.3">
      <c r="A257" t="str">
        <f t="shared" si="3"/>
        <v>20.59.00 Fremstilling af andre kemiske produkter i.a.n.</v>
      </c>
      <c r="B257" s="215" t="s">
        <v>1086</v>
      </c>
      <c r="C257" s="216" t="s">
        <v>1087</v>
      </c>
      <c r="D257" s="216" t="s">
        <v>1088</v>
      </c>
    </row>
    <row r="258" spans="1:4" ht="50.1" customHeight="1" x14ac:dyDescent="0.25">
      <c r="A258" t="str">
        <f t="shared" si="3"/>
        <v>20.60.00 Fremstilling af kemofibre</v>
      </c>
      <c r="B258" s="223" t="s">
        <v>1089</v>
      </c>
      <c r="C258" s="226" t="s">
        <v>1090</v>
      </c>
      <c r="D258" s="217" t="s">
        <v>1091</v>
      </c>
    </row>
    <row r="259" spans="1:4" ht="50.1" customHeight="1" x14ac:dyDescent="0.25">
      <c r="A259" t="str">
        <f t="shared" ref="A259:A322" si="4">B259 &amp; " " &amp; C259</f>
        <v xml:space="preserve"> </v>
      </c>
      <c r="B259" s="224"/>
      <c r="C259" s="227"/>
      <c r="D259" s="218"/>
    </row>
    <row r="260" spans="1:4" ht="50.1" customHeight="1" thickBot="1" x14ac:dyDescent="0.3">
      <c r="A260" t="str">
        <f t="shared" si="4"/>
        <v xml:space="preserve"> </v>
      </c>
      <c r="B260" s="225"/>
      <c r="C260" s="228"/>
      <c r="D260" s="219" t="s">
        <v>1092</v>
      </c>
    </row>
    <row r="261" spans="1:4" ht="50.1" customHeight="1" thickBot="1" x14ac:dyDescent="0.3">
      <c r="A261" t="str">
        <f t="shared" si="4"/>
        <v>21.10.00 Fremstilling af farmaceutiske råvarer</v>
      </c>
      <c r="B261" s="215" t="s">
        <v>1093</v>
      </c>
      <c r="C261" s="216" t="s">
        <v>1094</v>
      </c>
      <c r="D261" s="216" t="s">
        <v>1095</v>
      </c>
    </row>
    <row r="262" spans="1:4" ht="50.1" customHeight="1" thickBot="1" x14ac:dyDescent="0.3">
      <c r="A262" t="str">
        <f t="shared" si="4"/>
        <v>21.20.00 Fremstilling af farmaceutiske præparater</v>
      </c>
      <c r="B262" s="215" t="s">
        <v>1096</v>
      </c>
      <c r="C262" s="216" t="s">
        <v>1097</v>
      </c>
      <c r="D262" s="216" t="s">
        <v>1098</v>
      </c>
    </row>
    <row r="263" spans="1:4" ht="50.1" customHeight="1" thickBot="1" x14ac:dyDescent="0.3">
      <c r="A263" t="str">
        <f t="shared" si="4"/>
        <v>22.11.00 Fremstilling og vulkanisering af gummidæk og fremstilling af gummislanger</v>
      </c>
      <c r="B263" s="215" t="s">
        <v>1099</v>
      </c>
      <c r="C263" s="216" t="s">
        <v>1100</v>
      </c>
      <c r="D263" s="216" t="s">
        <v>1101</v>
      </c>
    </row>
    <row r="264" spans="1:4" ht="50.1" customHeight="1" thickBot="1" x14ac:dyDescent="0.3">
      <c r="A264" t="str">
        <f t="shared" si="4"/>
        <v>22.12.00 Fremstilling af andre gummiprodukter</v>
      </c>
      <c r="B264" s="215" t="s">
        <v>1102</v>
      </c>
      <c r="C264" s="216" t="s">
        <v>1103</v>
      </c>
      <c r="D264" s="216" t="s">
        <v>1104</v>
      </c>
    </row>
    <row r="265" spans="1:4" ht="50.1" customHeight="1" x14ac:dyDescent="0.25">
      <c r="A265" t="str">
        <f t="shared" si="4"/>
        <v>22.21.00 Fremstilling af plader, ark, rør og slanger samt profiler af plast</v>
      </c>
      <c r="B265" s="223" t="s">
        <v>1105</v>
      </c>
      <c r="C265" s="226" t="s">
        <v>1106</v>
      </c>
      <c r="D265" s="217" t="s">
        <v>1107</v>
      </c>
    </row>
    <row r="266" spans="1:4" ht="50.1" customHeight="1" x14ac:dyDescent="0.25">
      <c r="A266" t="str">
        <f t="shared" si="4"/>
        <v xml:space="preserve"> </v>
      </c>
      <c r="B266" s="224"/>
      <c r="C266" s="227"/>
      <c r="D266" s="218"/>
    </row>
    <row r="267" spans="1:4" ht="50.1" customHeight="1" thickBot="1" x14ac:dyDescent="0.3">
      <c r="A267" t="str">
        <f t="shared" si="4"/>
        <v xml:space="preserve"> </v>
      </c>
      <c r="B267" s="225"/>
      <c r="C267" s="228"/>
      <c r="D267" s="219" t="s">
        <v>1108</v>
      </c>
    </row>
    <row r="268" spans="1:4" ht="50.1" customHeight="1" thickBot="1" x14ac:dyDescent="0.3">
      <c r="A268" t="str">
        <f t="shared" si="4"/>
        <v>22.22.00 Fremstilling af plastemballage</v>
      </c>
      <c r="B268" s="215" t="s">
        <v>1109</v>
      </c>
      <c r="C268" s="216" t="s">
        <v>1110</v>
      </c>
      <c r="D268" s="216" t="s">
        <v>1111</v>
      </c>
    </row>
    <row r="269" spans="1:4" ht="50.1" customHeight="1" thickBot="1" x14ac:dyDescent="0.3">
      <c r="A269" t="str">
        <f t="shared" si="4"/>
        <v>22.23.00 Fremstilling af døre og vinduer af plast</v>
      </c>
      <c r="B269" s="215" t="s">
        <v>1112</v>
      </c>
      <c r="C269" s="216" t="s">
        <v>1113</v>
      </c>
      <c r="D269" s="216" t="s">
        <v>1114</v>
      </c>
    </row>
    <row r="270" spans="1:4" ht="50.1" customHeight="1" x14ac:dyDescent="0.25">
      <c r="A270" t="str">
        <f t="shared" si="4"/>
        <v>22.24.00 Fremstilling af bygningsartikler af plast</v>
      </c>
      <c r="B270" s="223" t="s">
        <v>1115</v>
      </c>
      <c r="C270" s="226" t="s">
        <v>1116</v>
      </c>
      <c r="D270" s="217" t="s">
        <v>1117</v>
      </c>
    </row>
    <row r="271" spans="1:4" ht="50.1" customHeight="1" x14ac:dyDescent="0.25">
      <c r="A271" t="str">
        <f t="shared" si="4"/>
        <v xml:space="preserve"> </v>
      </c>
      <c r="B271" s="224"/>
      <c r="C271" s="227"/>
      <c r="D271" s="218"/>
    </row>
    <row r="272" spans="1:4" ht="50.1" customHeight="1" thickBot="1" x14ac:dyDescent="0.3">
      <c r="A272" t="str">
        <f t="shared" si="4"/>
        <v xml:space="preserve"> </v>
      </c>
      <c r="B272" s="225"/>
      <c r="C272" s="228"/>
      <c r="D272" s="219" t="s">
        <v>1118</v>
      </c>
    </row>
    <row r="273" spans="1:4" ht="50.1" customHeight="1" x14ac:dyDescent="0.25">
      <c r="A273" t="str">
        <f t="shared" si="4"/>
        <v>22.25.00 Forarbejdning og færdigbehandling af plastprodukter</v>
      </c>
      <c r="B273" s="223" t="s">
        <v>1119</v>
      </c>
      <c r="C273" s="226" t="s">
        <v>1120</v>
      </c>
      <c r="D273" s="217" t="s">
        <v>1121</v>
      </c>
    </row>
    <row r="274" spans="1:4" ht="50.1" customHeight="1" x14ac:dyDescent="0.25">
      <c r="A274" t="str">
        <f t="shared" si="4"/>
        <v xml:space="preserve"> </v>
      </c>
      <c r="B274" s="224"/>
      <c r="C274" s="227"/>
      <c r="D274" s="218"/>
    </row>
    <row r="275" spans="1:4" ht="50.1" customHeight="1" thickBot="1" x14ac:dyDescent="0.3">
      <c r="A275" t="str">
        <f t="shared" si="4"/>
        <v xml:space="preserve"> </v>
      </c>
      <c r="B275" s="225"/>
      <c r="C275" s="228"/>
      <c r="D275" s="219" t="s">
        <v>1122</v>
      </c>
    </row>
    <row r="276" spans="1:4" ht="50.1" customHeight="1" x14ac:dyDescent="0.25">
      <c r="A276" t="str">
        <f t="shared" si="4"/>
        <v>22.26.00 Fremstilling af andre plastprodukter</v>
      </c>
      <c r="B276" s="223" t="s">
        <v>1123</v>
      </c>
      <c r="C276" s="226" t="s">
        <v>1124</v>
      </c>
      <c r="D276" s="217" t="s">
        <v>1125</v>
      </c>
    </row>
    <row r="277" spans="1:4" ht="50.1" customHeight="1" x14ac:dyDescent="0.25">
      <c r="A277" t="str">
        <f t="shared" si="4"/>
        <v xml:space="preserve"> </v>
      </c>
      <c r="B277" s="224"/>
      <c r="C277" s="227"/>
      <c r="D277" s="218"/>
    </row>
    <row r="278" spans="1:4" ht="50.1" customHeight="1" thickBot="1" x14ac:dyDescent="0.3">
      <c r="A278" t="str">
        <f t="shared" si="4"/>
        <v xml:space="preserve"> </v>
      </c>
      <c r="B278" s="225"/>
      <c r="C278" s="228"/>
      <c r="D278" s="219" t="s">
        <v>1126</v>
      </c>
    </row>
    <row r="279" spans="1:4" ht="50.1" customHeight="1" x14ac:dyDescent="0.25">
      <c r="A279" t="str">
        <f t="shared" si="4"/>
        <v>23.11.00 Fremstilling af planglas</v>
      </c>
      <c r="B279" s="223" t="s">
        <v>1127</v>
      </c>
      <c r="C279" s="226" t="s">
        <v>1128</v>
      </c>
      <c r="D279" s="217" t="s">
        <v>1129</v>
      </c>
    </row>
    <row r="280" spans="1:4" ht="50.1" customHeight="1" x14ac:dyDescent="0.25">
      <c r="A280" t="str">
        <f t="shared" si="4"/>
        <v xml:space="preserve"> </v>
      </c>
      <c r="B280" s="224"/>
      <c r="C280" s="227"/>
      <c r="D280" s="218"/>
    </row>
    <row r="281" spans="1:4" ht="50.1" customHeight="1" thickBot="1" x14ac:dyDescent="0.3">
      <c r="A281" t="str">
        <f t="shared" si="4"/>
        <v xml:space="preserve"> </v>
      </c>
      <c r="B281" s="225"/>
      <c r="C281" s="228"/>
      <c r="D281" s="219" t="s">
        <v>1130</v>
      </c>
    </row>
    <row r="282" spans="1:4" ht="50.1" customHeight="1" x14ac:dyDescent="0.25">
      <c r="A282" t="str">
        <f t="shared" si="4"/>
        <v>23.12.00 Formning og forarbejdning af planglas</v>
      </c>
      <c r="B282" s="223" t="s">
        <v>1131</v>
      </c>
      <c r="C282" s="226" t="s">
        <v>1132</v>
      </c>
      <c r="D282" s="217" t="s">
        <v>1133</v>
      </c>
    </row>
    <row r="283" spans="1:4" ht="50.1" customHeight="1" x14ac:dyDescent="0.25">
      <c r="A283" t="str">
        <f t="shared" si="4"/>
        <v xml:space="preserve"> </v>
      </c>
      <c r="B283" s="224"/>
      <c r="C283" s="227"/>
      <c r="D283" s="218"/>
    </row>
    <row r="284" spans="1:4" ht="50.1" customHeight="1" thickBot="1" x14ac:dyDescent="0.3">
      <c r="A284" t="str">
        <f t="shared" si="4"/>
        <v xml:space="preserve"> </v>
      </c>
      <c r="B284" s="225"/>
      <c r="C284" s="228"/>
      <c r="D284" s="219" t="s">
        <v>1134</v>
      </c>
    </row>
    <row r="285" spans="1:4" ht="50.1" customHeight="1" x14ac:dyDescent="0.25">
      <c r="A285" t="str">
        <f t="shared" si="4"/>
        <v>23.13.00 Fremstilling af flasker, drikkeglas mv.</v>
      </c>
      <c r="B285" s="223" t="s">
        <v>1135</v>
      </c>
      <c r="C285" s="226" t="s">
        <v>1136</v>
      </c>
      <c r="D285" s="217" t="s">
        <v>1137</v>
      </c>
    </row>
    <row r="286" spans="1:4" ht="50.1" customHeight="1" x14ac:dyDescent="0.25">
      <c r="A286" t="str">
        <f t="shared" si="4"/>
        <v xml:space="preserve"> </v>
      </c>
      <c r="B286" s="224"/>
      <c r="C286" s="227"/>
      <c r="D286" s="218"/>
    </row>
    <row r="287" spans="1:4" ht="50.1" customHeight="1" thickBot="1" x14ac:dyDescent="0.3">
      <c r="A287" t="str">
        <f t="shared" si="4"/>
        <v xml:space="preserve"> </v>
      </c>
      <c r="B287" s="225"/>
      <c r="C287" s="228"/>
      <c r="D287" s="219" t="s">
        <v>1138</v>
      </c>
    </row>
    <row r="288" spans="1:4" ht="50.1" customHeight="1" x14ac:dyDescent="0.25">
      <c r="A288" t="str">
        <f t="shared" si="4"/>
        <v>23.14.00 Fremstilling af glasfiber</v>
      </c>
      <c r="B288" s="223" t="s">
        <v>1139</v>
      </c>
      <c r="C288" s="226" t="s">
        <v>1140</v>
      </c>
      <c r="D288" s="217" t="s">
        <v>1141</v>
      </c>
    </row>
    <row r="289" spans="1:4" ht="50.1" customHeight="1" x14ac:dyDescent="0.25">
      <c r="A289" t="str">
        <f t="shared" si="4"/>
        <v xml:space="preserve"> </v>
      </c>
      <c r="B289" s="224"/>
      <c r="C289" s="227"/>
      <c r="D289" s="218"/>
    </row>
    <row r="290" spans="1:4" ht="50.1" customHeight="1" thickBot="1" x14ac:dyDescent="0.3">
      <c r="A290" t="str">
        <f t="shared" si="4"/>
        <v xml:space="preserve"> </v>
      </c>
      <c r="B290" s="225"/>
      <c r="C290" s="228"/>
      <c r="D290" s="219" t="s">
        <v>1142</v>
      </c>
    </row>
    <row r="291" spans="1:4" ht="50.1" customHeight="1" thickBot="1" x14ac:dyDescent="0.3">
      <c r="A291" t="str">
        <f t="shared" si="4"/>
        <v>23.15.00 Fremstilling og bearbejdning af andet glas, herunder teknisk glas</v>
      </c>
      <c r="B291" s="215" t="s">
        <v>1143</v>
      </c>
      <c r="C291" s="216" t="s">
        <v>1144</v>
      </c>
      <c r="D291" s="216" t="s">
        <v>1145</v>
      </c>
    </row>
    <row r="292" spans="1:4" ht="50.1" customHeight="1" thickBot="1" x14ac:dyDescent="0.3">
      <c r="A292" t="str">
        <f t="shared" si="4"/>
        <v>23.20.00 Fremstilling af ildfaste produkter</v>
      </c>
      <c r="B292" s="215" t="s">
        <v>1146</v>
      </c>
      <c r="C292" s="216" t="s">
        <v>1147</v>
      </c>
      <c r="D292" s="216" t="s">
        <v>1148</v>
      </c>
    </row>
    <row r="293" spans="1:4" ht="50.1" customHeight="1" x14ac:dyDescent="0.25">
      <c r="A293" t="str">
        <f t="shared" si="4"/>
        <v>23.31.00 Fremstilling af keramiske teglsten og gulvfliser</v>
      </c>
      <c r="B293" s="223" t="s">
        <v>1149</v>
      </c>
      <c r="C293" s="226" t="s">
        <v>1150</v>
      </c>
      <c r="D293" s="217" t="s">
        <v>1151</v>
      </c>
    </row>
    <row r="294" spans="1:4" ht="50.1" customHeight="1" x14ac:dyDescent="0.25">
      <c r="A294" t="str">
        <f t="shared" si="4"/>
        <v xml:space="preserve"> </v>
      </c>
      <c r="B294" s="224"/>
      <c r="C294" s="227"/>
      <c r="D294" s="218"/>
    </row>
    <row r="295" spans="1:4" ht="50.1" customHeight="1" thickBot="1" x14ac:dyDescent="0.3">
      <c r="A295" t="str">
        <f t="shared" si="4"/>
        <v xml:space="preserve"> </v>
      </c>
      <c r="B295" s="225"/>
      <c r="C295" s="228"/>
      <c r="D295" s="219" t="s">
        <v>1152</v>
      </c>
    </row>
    <row r="296" spans="1:4" ht="50.1" customHeight="1" thickBot="1" x14ac:dyDescent="0.3">
      <c r="A296" t="str">
        <f t="shared" si="4"/>
        <v>23.32.00 Fremstilling af mursten, teglsten og byggematerialer af brændt ler</v>
      </c>
      <c r="B296" s="215" t="s">
        <v>1153</v>
      </c>
      <c r="C296" s="216" t="s">
        <v>1154</v>
      </c>
      <c r="D296" s="216" t="s">
        <v>1155</v>
      </c>
    </row>
    <row r="297" spans="1:4" ht="50.1" customHeight="1" thickBot="1" x14ac:dyDescent="0.3">
      <c r="A297" t="str">
        <f t="shared" si="4"/>
        <v>23.41.00 Fremstilling af keramiske husholdningsartikler og pyntegenstande</v>
      </c>
      <c r="B297" s="215" t="s">
        <v>1156</v>
      </c>
      <c r="C297" s="216" t="s">
        <v>1157</v>
      </c>
      <c r="D297" s="216" t="s">
        <v>1158</v>
      </c>
    </row>
    <row r="298" spans="1:4" ht="50.1" customHeight="1" thickBot="1" x14ac:dyDescent="0.3">
      <c r="A298" t="str">
        <f t="shared" si="4"/>
        <v>23.42.00 Fremstilling af keramiske sanitetsartikler</v>
      </c>
      <c r="B298" s="215" t="s">
        <v>1159</v>
      </c>
      <c r="C298" s="216" t="s">
        <v>1160</v>
      </c>
      <c r="D298" s="216" t="s">
        <v>1161</v>
      </c>
    </row>
    <row r="299" spans="1:4" ht="50.1" customHeight="1" thickBot="1" x14ac:dyDescent="0.3">
      <c r="A299" t="str">
        <f t="shared" si="4"/>
        <v>23.43.00 Fremstilling af keramiske isolatorer og isoleringsdele</v>
      </c>
      <c r="B299" s="215" t="s">
        <v>1162</v>
      </c>
      <c r="C299" s="216" t="s">
        <v>1163</v>
      </c>
      <c r="D299" s="216" t="s">
        <v>1164</v>
      </c>
    </row>
    <row r="300" spans="1:4" ht="50.1" customHeight="1" thickBot="1" x14ac:dyDescent="0.3">
      <c r="A300" t="str">
        <f t="shared" si="4"/>
        <v>23.44.00 Fremstilling af andre keramiske produkter til teknisk brug</v>
      </c>
      <c r="B300" s="215" t="s">
        <v>1165</v>
      </c>
      <c r="C300" s="216" t="s">
        <v>1166</v>
      </c>
      <c r="D300" s="216" t="s">
        <v>1167</v>
      </c>
    </row>
    <row r="301" spans="1:4" ht="50.1" customHeight="1" thickBot="1" x14ac:dyDescent="0.3">
      <c r="A301" t="str">
        <f t="shared" si="4"/>
        <v>23.45.00 Fremstilling af andre keramiske produkter</v>
      </c>
      <c r="B301" s="215" t="s">
        <v>1168</v>
      </c>
      <c r="C301" s="216" t="s">
        <v>1169</v>
      </c>
      <c r="D301" s="216" t="s">
        <v>1170</v>
      </c>
    </row>
    <row r="302" spans="1:4" ht="50.1" customHeight="1" x14ac:dyDescent="0.25">
      <c r="A302" t="str">
        <f t="shared" si="4"/>
        <v>23.51.00 Fremstilling af cement</v>
      </c>
      <c r="B302" s="223" t="s">
        <v>1171</v>
      </c>
      <c r="C302" s="226" t="s">
        <v>1172</v>
      </c>
      <c r="D302" s="217" t="s">
        <v>1173</v>
      </c>
    </row>
    <row r="303" spans="1:4" ht="50.1" customHeight="1" x14ac:dyDescent="0.25">
      <c r="A303" t="str">
        <f t="shared" si="4"/>
        <v xml:space="preserve"> </v>
      </c>
      <c r="B303" s="224"/>
      <c r="C303" s="227"/>
      <c r="D303" s="218"/>
    </row>
    <row r="304" spans="1:4" ht="50.1" customHeight="1" thickBot="1" x14ac:dyDescent="0.3">
      <c r="A304" t="str">
        <f t="shared" si="4"/>
        <v xml:space="preserve"> </v>
      </c>
      <c r="B304" s="225"/>
      <c r="C304" s="228"/>
      <c r="D304" s="219" t="s">
        <v>1174</v>
      </c>
    </row>
    <row r="305" spans="1:4" ht="50.1" customHeight="1" x14ac:dyDescent="0.25">
      <c r="A305" t="str">
        <f t="shared" si="4"/>
        <v>23.52.00 Fremstilling af kalk og gips</v>
      </c>
      <c r="B305" s="223" t="s">
        <v>1175</v>
      </c>
      <c r="C305" s="226" t="s">
        <v>1176</v>
      </c>
      <c r="D305" s="217" t="s">
        <v>1177</v>
      </c>
    </row>
    <row r="306" spans="1:4" ht="50.1" customHeight="1" x14ac:dyDescent="0.25">
      <c r="A306" t="str">
        <f t="shared" si="4"/>
        <v xml:space="preserve"> </v>
      </c>
      <c r="B306" s="224"/>
      <c r="C306" s="227"/>
      <c r="D306" s="218"/>
    </row>
    <row r="307" spans="1:4" ht="50.1" customHeight="1" thickBot="1" x14ac:dyDescent="0.3">
      <c r="A307" t="str">
        <f t="shared" si="4"/>
        <v xml:space="preserve"> </v>
      </c>
      <c r="B307" s="225"/>
      <c r="C307" s="228"/>
      <c r="D307" s="219" t="s">
        <v>1178</v>
      </c>
    </row>
    <row r="308" spans="1:4" ht="50.1" customHeight="1" thickBot="1" x14ac:dyDescent="0.3">
      <c r="A308" t="str">
        <f t="shared" si="4"/>
        <v>23.61.00 Fremstilling af byggematerialer af beton</v>
      </c>
      <c r="B308" s="215" t="s">
        <v>1179</v>
      </c>
      <c r="C308" s="216" t="s">
        <v>1180</v>
      </c>
      <c r="D308" s="216" t="s">
        <v>1181</v>
      </c>
    </row>
    <row r="309" spans="1:4" ht="50.1" customHeight="1" thickBot="1" x14ac:dyDescent="0.3">
      <c r="A309" t="str">
        <f t="shared" si="4"/>
        <v>23.62.00 Fremstilling af byggematerialer af gips</v>
      </c>
      <c r="B309" s="215" t="s">
        <v>1182</v>
      </c>
      <c r="C309" s="216" t="s">
        <v>1183</v>
      </c>
      <c r="D309" s="216" t="s">
        <v>1184</v>
      </c>
    </row>
    <row r="310" spans="1:4" ht="50.1" customHeight="1" x14ac:dyDescent="0.25">
      <c r="A310" t="str">
        <f t="shared" si="4"/>
        <v>23.63.00 Fremstilling af færdigblandet beton</v>
      </c>
      <c r="B310" s="223" t="s">
        <v>1185</v>
      </c>
      <c r="C310" s="226" t="s">
        <v>1186</v>
      </c>
      <c r="D310" s="217" t="s">
        <v>1187</v>
      </c>
    </row>
    <row r="311" spans="1:4" ht="50.1" customHeight="1" x14ac:dyDescent="0.25">
      <c r="A311" t="str">
        <f t="shared" si="4"/>
        <v xml:space="preserve"> </v>
      </c>
      <c r="B311" s="224"/>
      <c r="C311" s="227"/>
      <c r="D311" s="218"/>
    </row>
    <row r="312" spans="1:4" ht="50.1" customHeight="1" thickBot="1" x14ac:dyDescent="0.3">
      <c r="A312" t="str">
        <f t="shared" si="4"/>
        <v xml:space="preserve"> </v>
      </c>
      <c r="B312" s="225"/>
      <c r="C312" s="228"/>
      <c r="D312" s="219" t="s">
        <v>1188</v>
      </c>
    </row>
    <row r="313" spans="1:4" ht="50.1" customHeight="1" thickBot="1" x14ac:dyDescent="0.3">
      <c r="A313" t="str">
        <f t="shared" si="4"/>
        <v>23.64.00 Fremstilling af mørtel</v>
      </c>
      <c r="B313" s="215" t="s">
        <v>1189</v>
      </c>
      <c r="C313" s="216" t="s">
        <v>1190</v>
      </c>
      <c r="D313" s="216" t="s">
        <v>1191</v>
      </c>
    </row>
    <row r="314" spans="1:4" ht="50.1" customHeight="1" thickBot="1" x14ac:dyDescent="0.3">
      <c r="A314" t="str">
        <f t="shared" si="4"/>
        <v>23.65.00 Fremstilling af fibercement</v>
      </c>
      <c r="B314" s="215" t="s">
        <v>1192</v>
      </c>
      <c r="C314" s="216" t="s">
        <v>1193</v>
      </c>
      <c r="D314" s="216" t="s">
        <v>1194</v>
      </c>
    </row>
    <row r="315" spans="1:4" ht="50.1" customHeight="1" x14ac:dyDescent="0.25">
      <c r="A315" t="str">
        <f t="shared" si="4"/>
        <v>23.66.00 Fremstilling af andre produkter af beton, cement og gips</v>
      </c>
      <c r="B315" s="223" t="s">
        <v>1195</v>
      </c>
      <c r="C315" s="226" t="s">
        <v>1196</v>
      </c>
      <c r="D315" s="217" t="s">
        <v>1197</v>
      </c>
    </row>
    <row r="316" spans="1:4" ht="50.1" customHeight="1" x14ac:dyDescent="0.25">
      <c r="A316" t="str">
        <f t="shared" si="4"/>
        <v xml:space="preserve"> </v>
      </c>
      <c r="B316" s="224"/>
      <c r="C316" s="227"/>
      <c r="D316" s="218"/>
    </row>
    <row r="317" spans="1:4" ht="50.1" customHeight="1" thickBot="1" x14ac:dyDescent="0.3">
      <c r="A317" t="str">
        <f t="shared" si="4"/>
        <v xml:space="preserve"> </v>
      </c>
      <c r="B317" s="225"/>
      <c r="C317" s="228"/>
      <c r="D317" s="219" t="s">
        <v>1198</v>
      </c>
    </row>
    <row r="318" spans="1:4" ht="50.1" customHeight="1" thickBot="1" x14ac:dyDescent="0.3">
      <c r="A318" t="str">
        <f t="shared" si="4"/>
        <v>23.70.00 Tilhugning, tilskæring og færdigbearbejdning af sten</v>
      </c>
      <c r="B318" s="215" t="s">
        <v>1199</v>
      </c>
      <c r="C318" s="216" t="s">
        <v>1200</v>
      </c>
      <c r="D318" s="216" t="s">
        <v>1201</v>
      </c>
    </row>
    <row r="319" spans="1:4" ht="50.1" customHeight="1" thickBot="1" x14ac:dyDescent="0.3">
      <c r="A319" t="str">
        <f t="shared" si="4"/>
        <v>23.91.00 Fremstilling af slibemidler</v>
      </c>
      <c r="B319" s="215" t="s">
        <v>1202</v>
      </c>
      <c r="C319" s="216" t="s">
        <v>1203</v>
      </c>
      <c r="D319" s="216" t="s">
        <v>1204</v>
      </c>
    </row>
    <row r="320" spans="1:4" ht="50.1" customHeight="1" thickBot="1" x14ac:dyDescent="0.3">
      <c r="A320" t="str">
        <f t="shared" si="4"/>
        <v>23.99.10 Fremstilling af asfalt og tagpap</v>
      </c>
      <c r="B320" s="215" t="s">
        <v>1205</v>
      </c>
      <c r="C320" s="216" t="s">
        <v>1206</v>
      </c>
      <c r="D320" s="216" t="s">
        <v>1207</v>
      </c>
    </row>
    <row r="321" spans="1:4" ht="50.1" customHeight="1" thickBot="1" x14ac:dyDescent="0.3">
      <c r="A321" t="str">
        <f t="shared" si="4"/>
        <v>23.99.90 Fremstilling af andre ikke-metalholdige mineralske produkter, bortset fra asfalt og tagpap</v>
      </c>
      <c r="B321" s="215" t="s">
        <v>1208</v>
      </c>
      <c r="C321" s="216" t="s">
        <v>1209</v>
      </c>
      <c r="D321" s="216" t="s">
        <v>1210</v>
      </c>
    </row>
    <row r="322" spans="1:4" ht="50.1" customHeight="1" thickBot="1" x14ac:dyDescent="0.3">
      <c r="A322" t="str">
        <f t="shared" si="4"/>
        <v>24.10.00 Fremstilling af råjern og råstål samt jernlegeringer</v>
      </c>
      <c r="B322" s="215" t="s">
        <v>1211</v>
      </c>
      <c r="C322" s="216" t="s">
        <v>1212</v>
      </c>
      <c r="D322" s="216" t="s">
        <v>1213</v>
      </c>
    </row>
    <row r="323" spans="1:4" ht="50.1" customHeight="1" thickBot="1" x14ac:dyDescent="0.3">
      <c r="A323" t="str">
        <f t="shared" ref="A323:A386" si="5">B323 &amp; " " &amp; C323</f>
        <v>24.20.00 Fremstilling af rør, hule profiler og tilhørende fittings af stål</v>
      </c>
      <c r="B323" s="215" t="s">
        <v>1214</v>
      </c>
      <c r="C323" s="216" t="s">
        <v>1215</v>
      </c>
      <c r="D323" s="216" t="s">
        <v>1216</v>
      </c>
    </row>
    <row r="324" spans="1:4" ht="50.1" customHeight="1" thickBot="1" x14ac:dyDescent="0.3">
      <c r="A324" t="str">
        <f t="shared" si="5"/>
        <v>24.31.00 Fremstilling af stænger ved koldtrækning</v>
      </c>
      <c r="B324" s="215" t="s">
        <v>1217</v>
      </c>
      <c r="C324" s="216" t="s">
        <v>1218</v>
      </c>
      <c r="D324" s="216" t="s">
        <v>1219</v>
      </c>
    </row>
    <row r="325" spans="1:4" ht="50.1" customHeight="1" thickBot="1" x14ac:dyDescent="0.3">
      <c r="A325" t="str">
        <f t="shared" si="5"/>
        <v>24.32.00 Fremstilling af stålbånd ved koldvalsning</v>
      </c>
      <c r="B325" s="215" t="s">
        <v>1220</v>
      </c>
      <c r="C325" s="216" t="s">
        <v>1221</v>
      </c>
      <c r="D325" s="216" t="s">
        <v>1222</v>
      </c>
    </row>
    <row r="326" spans="1:4" ht="50.1" customHeight="1" x14ac:dyDescent="0.25">
      <c r="A326" t="str">
        <f t="shared" si="5"/>
        <v>24.33.00 Koldbehandling</v>
      </c>
      <c r="B326" s="223" t="s">
        <v>1223</v>
      </c>
      <c r="C326" s="226" t="s">
        <v>1224</v>
      </c>
      <c r="D326" s="217" t="s">
        <v>1225</v>
      </c>
    </row>
    <row r="327" spans="1:4" ht="50.1" customHeight="1" x14ac:dyDescent="0.25">
      <c r="A327" t="str">
        <f t="shared" si="5"/>
        <v xml:space="preserve"> </v>
      </c>
      <c r="B327" s="224"/>
      <c r="C327" s="227"/>
      <c r="D327" s="218"/>
    </row>
    <row r="328" spans="1:4" ht="50.1" customHeight="1" thickBot="1" x14ac:dyDescent="0.3">
      <c r="A328" t="str">
        <f t="shared" si="5"/>
        <v xml:space="preserve"> </v>
      </c>
      <c r="B328" s="225"/>
      <c r="C328" s="228"/>
      <c r="D328" s="219" t="s">
        <v>1226</v>
      </c>
    </row>
    <row r="329" spans="1:4" ht="50.1" customHeight="1" thickBot="1" x14ac:dyDescent="0.3">
      <c r="A329" t="str">
        <f t="shared" si="5"/>
        <v>24.34.00 Fremstilling af tråd ved koldtrækning</v>
      </c>
      <c r="B329" s="215" t="s">
        <v>1227</v>
      </c>
      <c r="C329" s="216" t="s">
        <v>1228</v>
      </c>
      <c r="D329" s="216" t="s">
        <v>1229</v>
      </c>
    </row>
    <row r="330" spans="1:4" ht="50.1" customHeight="1" x14ac:dyDescent="0.25">
      <c r="A330" t="str">
        <f t="shared" si="5"/>
        <v>24.41.00 Fremstilling af ædelmetaller</v>
      </c>
      <c r="B330" s="223" t="s">
        <v>1230</v>
      </c>
      <c r="C330" s="226" t="s">
        <v>1231</v>
      </c>
      <c r="D330" s="217" t="s">
        <v>1232</v>
      </c>
    </row>
    <row r="331" spans="1:4" ht="50.1" customHeight="1" x14ac:dyDescent="0.25">
      <c r="A331" t="str">
        <f t="shared" si="5"/>
        <v xml:space="preserve"> </v>
      </c>
      <c r="B331" s="224"/>
      <c r="C331" s="227"/>
      <c r="D331" s="218"/>
    </row>
    <row r="332" spans="1:4" ht="50.1" customHeight="1" thickBot="1" x14ac:dyDescent="0.3">
      <c r="A332" t="str">
        <f t="shared" si="5"/>
        <v xml:space="preserve"> </v>
      </c>
      <c r="B332" s="225"/>
      <c r="C332" s="228"/>
      <c r="D332" s="219" t="s">
        <v>1233</v>
      </c>
    </row>
    <row r="333" spans="1:4" ht="50.1" customHeight="1" x14ac:dyDescent="0.25">
      <c r="A333" t="str">
        <f t="shared" si="5"/>
        <v>24.42.00 Fremstilling af aluminium</v>
      </c>
      <c r="B333" s="223" t="s">
        <v>1234</v>
      </c>
      <c r="C333" s="226" t="s">
        <v>1235</v>
      </c>
      <c r="D333" s="217" t="s">
        <v>1236</v>
      </c>
    </row>
    <row r="334" spans="1:4" ht="50.1" customHeight="1" x14ac:dyDescent="0.25">
      <c r="A334" t="str">
        <f t="shared" si="5"/>
        <v xml:space="preserve"> </v>
      </c>
      <c r="B334" s="224"/>
      <c r="C334" s="227"/>
      <c r="D334" s="218"/>
    </row>
    <row r="335" spans="1:4" ht="50.1" customHeight="1" thickBot="1" x14ac:dyDescent="0.3">
      <c r="A335" t="str">
        <f t="shared" si="5"/>
        <v xml:space="preserve"> </v>
      </c>
      <c r="B335" s="225"/>
      <c r="C335" s="228"/>
      <c r="D335" s="219" t="s">
        <v>1237</v>
      </c>
    </row>
    <row r="336" spans="1:4" ht="50.1" customHeight="1" x14ac:dyDescent="0.25">
      <c r="A336" t="str">
        <f t="shared" si="5"/>
        <v>24.43.00 Fremstilling af bly, zink og tin</v>
      </c>
      <c r="B336" s="223" t="s">
        <v>1238</v>
      </c>
      <c r="C336" s="226" t="s">
        <v>1239</v>
      </c>
      <c r="D336" s="217" t="s">
        <v>1240</v>
      </c>
    </row>
    <row r="337" spans="1:4" ht="50.1" customHeight="1" x14ac:dyDescent="0.25">
      <c r="A337" t="str">
        <f t="shared" si="5"/>
        <v xml:space="preserve"> </v>
      </c>
      <c r="B337" s="224"/>
      <c r="C337" s="227"/>
      <c r="D337" s="218"/>
    </row>
    <row r="338" spans="1:4" ht="50.1" customHeight="1" thickBot="1" x14ac:dyDescent="0.3">
      <c r="A338" t="str">
        <f t="shared" si="5"/>
        <v xml:space="preserve"> </v>
      </c>
      <c r="B338" s="225"/>
      <c r="C338" s="228"/>
      <c r="D338" s="219" t="s">
        <v>1241</v>
      </c>
    </row>
    <row r="339" spans="1:4" ht="50.1" customHeight="1" x14ac:dyDescent="0.25">
      <c r="A339" t="str">
        <f t="shared" si="5"/>
        <v>24.44.00 Fremstilling af kobber</v>
      </c>
      <c r="B339" s="223" t="s">
        <v>1242</v>
      </c>
      <c r="C339" s="226" t="s">
        <v>1243</v>
      </c>
      <c r="D339" s="217" t="s">
        <v>1244</v>
      </c>
    </row>
    <row r="340" spans="1:4" ht="50.1" customHeight="1" x14ac:dyDescent="0.25">
      <c r="A340" t="str">
        <f t="shared" si="5"/>
        <v xml:space="preserve"> </v>
      </c>
      <c r="B340" s="224"/>
      <c r="C340" s="227"/>
      <c r="D340" s="218"/>
    </row>
    <row r="341" spans="1:4" ht="50.1" customHeight="1" thickBot="1" x14ac:dyDescent="0.3">
      <c r="A341" t="str">
        <f t="shared" si="5"/>
        <v xml:space="preserve"> </v>
      </c>
      <c r="B341" s="225"/>
      <c r="C341" s="228"/>
      <c r="D341" s="219" t="s">
        <v>1245</v>
      </c>
    </row>
    <row r="342" spans="1:4" ht="50.1" customHeight="1" thickBot="1" x14ac:dyDescent="0.3">
      <c r="A342" t="str">
        <f t="shared" si="5"/>
        <v>24.45.00 Anden fremstilling af ikke-jernholdige metaller</v>
      </c>
      <c r="B342" s="215" t="s">
        <v>1246</v>
      </c>
      <c r="C342" s="216" t="s">
        <v>1247</v>
      </c>
      <c r="D342" s="216" t="s">
        <v>1248</v>
      </c>
    </row>
    <row r="343" spans="1:4" ht="50.1" customHeight="1" thickBot="1" x14ac:dyDescent="0.3">
      <c r="A343" t="str">
        <f t="shared" si="5"/>
        <v>24.46.00 Oparbejdning af nukleart brændsel</v>
      </c>
      <c r="B343" s="215" t="s">
        <v>1249</v>
      </c>
      <c r="C343" s="216" t="s">
        <v>1250</v>
      </c>
      <c r="D343" s="216" t="s">
        <v>1251</v>
      </c>
    </row>
    <row r="344" spans="1:4" ht="50.1" customHeight="1" thickBot="1" x14ac:dyDescent="0.3">
      <c r="A344" t="str">
        <f t="shared" si="5"/>
        <v>24.51.00 Støbning af jernprodukter</v>
      </c>
      <c r="B344" s="215" t="s">
        <v>1252</v>
      </c>
      <c r="C344" s="216" t="s">
        <v>1253</v>
      </c>
      <c r="D344" s="216" t="s">
        <v>1254</v>
      </c>
    </row>
    <row r="345" spans="1:4" ht="50.1" customHeight="1" thickBot="1" x14ac:dyDescent="0.3">
      <c r="A345" t="str">
        <f t="shared" si="5"/>
        <v>24.52.00 Støbning af stålprodukter</v>
      </c>
      <c r="B345" s="215" t="s">
        <v>1255</v>
      </c>
      <c r="C345" s="216" t="s">
        <v>1256</v>
      </c>
      <c r="D345" s="216" t="s">
        <v>1257</v>
      </c>
    </row>
    <row r="346" spans="1:4" ht="50.1" customHeight="1" thickBot="1" x14ac:dyDescent="0.3">
      <c r="A346" t="str">
        <f t="shared" si="5"/>
        <v>24.53.00 Støbning af letmetalprodukter</v>
      </c>
      <c r="B346" s="215" t="s">
        <v>1258</v>
      </c>
      <c r="C346" s="216" t="s">
        <v>1259</v>
      </c>
      <c r="D346" s="216" t="s">
        <v>1260</v>
      </c>
    </row>
    <row r="347" spans="1:4" ht="50.1" customHeight="1" thickBot="1" x14ac:dyDescent="0.3">
      <c r="A347" t="str">
        <f t="shared" si="5"/>
        <v>24.54.00 Støbning af andre ikke-jernholdige metalprodukter</v>
      </c>
      <c r="B347" s="215" t="s">
        <v>1261</v>
      </c>
      <c r="C347" s="216" t="s">
        <v>1262</v>
      </c>
      <c r="D347" s="216" t="s">
        <v>1263</v>
      </c>
    </row>
    <row r="348" spans="1:4" ht="50.1" customHeight="1" thickBot="1" x14ac:dyDescent="0.3">
      <c r="A348" t="str">
        <f t="shared" si="5"/>
        <v>25.11.00 Fremstilling af metalkonstruktioner og dele heraf</v>
      </c>
      <c r="B348" s="215" t="s">
        <v>1264</v>
      </c>
      <c r="C348" s="216" t="s">
        <v>1265</v>
      </c>
      <c r="D348" s="216" t="s">
        <v>1266</v>
      </c>
    </row>
    <row r="349" spans="1:4" ht="50.1" customHeight="1" thickBot="1" x14ac:dyDescent="0.3">
      <c r="A349" t="str">
        <f t="shared" si="5"/>
        <v>25.12.00 Fremstilling af døre og vinduer af metal</v>
      </c>
      <c r="B349" s="215" t="s">
        <v>1267</v>
      </c>
      <c r="C349" s="216" t="s">
        <v>1268</v>
      </c>
      <c r="D349" s="216" t="s">
        <v>1269</v>
      </c>
    </row>
    <row r="350" spans="1:4" ht="50.1" customHeight="1" thickBot="1" x14ac:dyDescent="0.3">
      <c r="A350" t="str">
        <f t="shared" si="5"/>
        <v>25.21.00 Fremstilling af radiatorer, damp- og fyringskedler til centralvarmeanlæg</v>
      </c>
      <c r="B350" s="215" t="s">
        <v>1270</v>
      </c>
      <c r="C350" s="216" t="s">
        <v>1271</v>
      </c>
      <c r="D350" s="216" t="s">
        <v>1272</v>
      </c>
    </row>
    <row r="351" spans="1:4" ht="50.1" customHeight="1" thickBot="1" x14ac:dyDescent="0.3">
      <c r="A351" t="str">
        <f t="shared" si="5"/>
        <v>25.22.00 Fremstilling af andre tanke og beholdere af metal</v>
      </c>
      <c r="B351" s="215" t="s">
        <v>1273</v>
      </c>
      <c r="C351" s="216" t="s">
        <v>1274</v>
      </c>
      <c r="D351" s="216" t="s">
        <v>1275</v>
      </c>
    </row>
    <row r="352" spans="1:4" ht="50.1" customHeight="1" x14ac:dyDescent="0.25">
      <c r="A352" t="str">
        <f t="shared" si="5"/>
        <v>25.30.00 Fremstilling af våben og ammunition</v>
      </c>
      <c r="B352" s="223" t="s">
        <v>1276</v>
      </c>
      <c r="C352" s="226" t="s">
        <v>1277</v>
      </c>
      <c r="D352" s="217" t="s">
        <v>1278</v>
      </c>
    </row>
    <row r="353" spans="1:4" ht="50.1" customHeight="1" x14ac:dyDescent="0.25">
      <c r="A353" t="str">
        <f t="shared" si="5"/>
        <v xml:space="preserve"> </v>
      </c>
      <c r="B353" s="224"/>
      <c r="C353" s="227"/>
      <c r="D353" s="218"/>
    </row>
    <row r="354" spans="1:4" ht="50.1" customHeight="1" thickBot="1" x14ac:dyDescent="0.3">
      <c r="A354" t="str">
        <f t="shared" si="5"/>
        <v xml:space="preserve"> </v>
      </c>
      <c r="B354" s="225"/>
      <c r="C354" s="228"/>
      <c r="D354" s="219" t="s">
        <v>1279</v>
      </c>
    </row>
    <row r="355" spans="1:4" ht="50.1" customHeight="1" thickBot="1" x14ac:dyDescent="0.3">
      <c r="A355" t="str">
        <f t="shared" si="5"/>
        <v>25.40.00 Smedning og valsning af metal samt pulvermetallurgi</v>
      </c>
      <c r="B355" s="215" t="s">
        <v>1280</v>
      </c>
      <c r="C355" s="216" t="s">
        <v>1281</v>
      </c>
      <c r="D355" s="216" t="s">
        <v>1282</v>
      </c>
    </row>
    <row r="356" spans="1:4" ht="50.1" customHeight="1" thickBot="1" x14ac:dyDescent="0.3">
      <c r="A356" t="str">
        <f t="shared" si="5"/>
        <v>25.51.00 Overfladebehandling af metal</v>
      </c>
      <c r="B356" s="215" t="s">
        <v>1283</v>
      </c>
      <c r="C356" s="216" t="s">
        <v>1284</v>
      </c>
      <c r="D356" s="216" t="s">
        <v>1285</v>
      </c>
    </row>
    <row r="357" spans="1:4" ht="50.1" customHeight="1" thickBot="1" x14ac:dyDescent="0.3">
      <c r="A357" t="str">
        <f t="shared" si="5"/>
        <v>25.52.00 Varmebehandling af metal</v>
      </c>
      <c r="B357" s="215" t="s">
        <v>1286</v>
      </c>
      <c r="C357" s="216" t="s">
        <v>1287</v>
      </c>
      <c r="D357" s="216" t="s">
        <v>1288</v>
      </c>
    </row>
    <row r="358" spans="1:4" ht="50.1" customHeight="1" thickBot="1" x14ac:dyDescent="0.3">
      <c r="A358" t="str">
        <f t="shared" si="5"/>
        <v>25.53.00 Maskinforarbejdning af metal</v>
      </c>
      <c r="B358" s="215" t="s">
        <v>1289</v>
      </c>
      <c r="C358" s="216" t="s">
        <v>1290</v>
      </c>
      <c r="D358" s="216" t="s">
        <v>1291</v>
      </c>
    </row>
    <row r="359" spans="1:4" ht="50.1" customHeight="1" x14ac:dyDescent="0.25">
      <c r="A359" t="str">
        <f t="shared" si="5"/>
        <v>25.61.00 Fremstilling af bestik, skære- og klipperedskaber</v>
      </c>
      <c r="B359" s="223" t="s">
        <v>1292</v>
      </c>
      <c r="C359" s="226" t="s">
        <v>1293</v>
      </c>
      <c r="D359" s="217" t="s">
        <v>1294</v>
      </c>
    </row>
    <row r="360" spans="1:4" ht="50.1" customHeight="1" x14ac:dyDescent="0.25">
      <c r="A360" t="str">
        <f t="shared" si="5"/>
        <v xml:space="preserve"> </v>
      </c>
      <c r="B360" s="224"/>
      <c r="C360" s="227"/>
      <c r="D360" s="218"/>
    </row>
    <row r="361" spans="1:4" ht="50.1" customHeight="1" thickBot="1" x14ac:dyDescent="0.3">
      <c r="A361" t="str">
        <f t="shared" si="5"/>
        <v xml:space="preserve"> </v>
      </c>
      <c r="B361" s="225"/>
      <c r="C361" s="228"/>
      <c r="D361" s="219" t="s">
        <v>1295</v>
      </c>
    </row>
    <row r="362" spans="1:4" ht="50.1" customHeight="1" thickBot="1" x14ac:dyDescent="0.3">
      <c r="A362" t="str">
        <f t="shared" si="5"/>
        <v>25.62.00 Fremstilling af låse og hængsler</v>
      </c>
      <c r="B362" s="215" t="s">
        <v>1296</v>
      </c>
      <c r="C362" s="216" t="s">
        <v>1297</v>
      </c>
      <c r="D362" s="216" t="s">
        <v>1298</v>
      </c>
    </row>
    <row r="363" spans="1:4" ht="50.1" customHeight="1" x14ac:dyDescent="0.25">
      <c r="A363" t="str">
        <f t="shared" si="5"/>
        <v>25.63.00 Fremstilling af håndværktøj</v>
      </c>
      <c r="B363" s="223" t="s">
        <v>1299</v>
      </c>
      <c r="C363" s="226" t="s">
        <v>1300</v>
      </c>
      <c r="D363" s="217" t="s">
        <v>1301</v>
      </c>
    </row>
    <row r="364" spans="1:4" ht="50.1" customHeight="1" x14ac:dyDescent="0.25">
      <c r="A364" t="str">
        <f t="shared" si="5"/>
        <v xml:space="preserve"> </v>
      </c>
      <c r="B364" s="224"/>
      <c r="C364" s="227"/>
      <c r="D364" s="218"/>
    </row>
    <row r="365" spans="1:4" ht="50.1" customHeight="1" thickBot="1" x14ac:dyDescent="0.3">
      <c r="A365" t="str">
        <f t="shared" si="5"/>
        <v xml:space="preserve"> </v>
      </c>
      <c r="B365" s="225"/>
      <c r="C365" s="228"/>
      <c r="D365" s="219" t="s">
        <v>1302</v>
      </c>
    </row>
    <row r="366" spans="1:4" ht="50.1" customHeight="1" thickBot="1" x14ac:dyDescent="0.3">
      <c r="A366" t="str">
        <f t="shared" si="5"/>
        <v>25.91.00 Fremstilling af metaltønder og lignende beholdere</v>
      </c>
      <c r="B366" s="215" t="s">
        <v>1303</v>
      </c>
      <c r="C366" s="216" t="s">
        <v>1304</v>
      </c>
      <c r="D366" s="216" t="s">
        <v>1305</v>
      </c>
    </row>
    <row r="367" spans="1:4" ht="50.1" customHeight="1" thickBot="1" x14ac:dyDescent="0.3">
      <c r="A367" t="str">
        <f t="shared" si="5"/>
        <v>25.92.00 Fremstilling af letmetalemballage</v>
      </c>
      <c r="B367" s="215" t="s">
        <v>1306</v>
      </c>
      <c r="C367" s="216" t="s">
        <v>1307</v>
      </c>
      <c r="D367" s="216" t="s">
        <v>1308</v>
      </c>
    </row>
    <row r="368" spans="1:4" ht="50.1" customHeight="1" x14ac:dyDescent="0.25">
      <c r="A368" t="str">
        <f t="shared" si="5"/>
        <v>25.93.00 Fremstilling af trådvarer, kæder og fjedre</v>
      </c>
      <c r="B368" s="223" t="s">
        <v>1309</v>
      </c>
      <c r="C368" s="226" t="s">
        <v>1310</v>
      </c>
      <c r="D368" s="217" t="s">
        <v>1311</v>
      </c>
    </row>
    <row r="369" spans="1:4" ht="50.1" customHeight="1" x14ac:dyDescent="0.25">
      <c r="A369" t="str">
        <f t="shared" si="5"/>
        <v xml:space="preserve"> </v>
      </c>
      <c r="B369" s="224"/>
      <c r="C369" s="227"/>
      <c r="D369" s="218"/>
    </row>
    <row r="370" spans="1:4" ht="50.1" customHeight="1" thickBot="1" x14ac:dyDescent="0.3">
      <c r="A370" t="str">
        <f t="shared" si="5"/>
        <v xml:space="preserve"> </v>
      </c>
      <c r="B370" s="225"/>
      <c r="C370" s="228"/>
      <c r="D370" s="219" t="s">
        <v>1312</v>
      </c>
    </row>
    <row r="371" spans="1:4" ht="50.1" customHeight="1" thickBot="1" x14ac:dyDescent="0.3">
      <c r="A371" t="str">
        <f t="shared" si="5"/>
        <v>25.94.00 Fremstilling af lukkeanordninger, bolte, skruer og møtrikker</v>
      </c>
      <c r="B371" s="215" t="s">
        <v>1313</v>
      </c>
      <c r="C371" s="216" t="s">
        <v>1314</v>
      </c>
      <c r="D371" s="216" t="s">
        <v>1315</v>
      </c>
    </row>
    <row r="372" spans="1:4" ht="50.1" customHeight="1" thickBot="1" x14ac:dyDescent="0.3">
      <c r="A372" t="str">
        <f t="shared" si="5"/>
        <v>25.99.00 Fremstilling af andre færdige metalprodukter i.a.n.</v>
      </c>
      <c r="B372" s="215" t="s">
        <v>1316</v>
      </c>
      <c r="C372" s="216" t="s">
        <v>1317</v>
      </c>
      <c r="D372" s="216" t="s">
        <v>1318</v>
      </c>
    </row>
    <row r="373" spans="1:4" ht="50.1" customHeight="1" x14ac:dyDescent="0.25">
      <c r="A373" t="str">
        <f t="shared" si="5"/>
        <v>26.11.00 Fremstilling af elektroniske komponenter</v>
      </c>
      <c r="B373" s="223" t="s">
        <v>1319</v>
      </c>
      <c r="C373" s="226" t="s">
        <v>1320</v>
      </c>
      <c r="D373" s="217" t="s">
        <v>1321</v>
      </c>
    </row>
    <row r="374" spans="1:4" ht="50.1" customHeight="1" x14ac:dyDescent="0.25">
      <c r="A374" t="str">
        <f t="shared" si="5"/>
        <v xml:space="preserve"> </v>
      </c>
      <c r="B374" s="224"/>
      <c r="C374" s="227"/>
      <c r="D374" s="218"/>
    </row>
    <row r="375" spans="1:4" ht="50.1" customHeight="1" thickBot="1" x14ac:dyDescent="0.3">
      <c r="A375" t="str">
        <f t="shared" si="5"/>
        <v xml:space="preserve"> </v>
      </c>
      <c r="B375" s="225"/>
      <c r="C375" s="228"/>
      <c r="D375" s="219" t="s">
        <v>1322</v>
      </c>
    </row>
    <row r="376" spans="1:4" ht="50.1" customHeight="1" thickBot="1" x14ac:dyDescent="0.3">
      <c r="A376" t="str">
        <f t="shared" si="5"/>
        <v>26.12.00 Fremstilling af printplader o.lign.</v>
      </c>
      <c r="B376" s="215" t="s">
        <v>1323</v>
      </c>
      <c r="C376" s="216" t="s">
        <v>1324</v>
      </c>
      <c r="D376" s="216" t="s">
        <v>1325</v>
      </c>
    </row>
    <row r="377" spans="1:4" ht="50.1" customHeight="1" x14ac:dyDescent="0.25">
      <c r="A377" t="str">
        <f t="shared" si="5"/>
        <v>26.20.00 Fremstilling af computere og ydre enheder</v>
      </c>
      <c r="B377" s="223" t="s">
        <v>1326</v>
      </c>
      <c r="C377" s="226" t="s">
        <v>1327</v>
      </c>
      <c r="D377" s="217" t="s">
        <v>1328</v>
      </c>
    </row>
    <row r="378" spans="1:4" ht="50.1" customHeight="1" x14ac:dyDescent="0.25">
      <c r="A378" t="str">
        <f t="shared" si="5"/>
        <v xml:space="preserve"> </v>
      </c>
      <c r="B378" s="224"/>
      <c r="C378" s="227"/>
      <c r="D378" s="218"/>
    </row>
    <row r="379" spans="1:4" ht="50.1" customHeight="1" thickBot="1" x14ac:dyDescent="0.3">
      <c r="A379" t="str">
        <f t="shared" si="5"/>
        <v xml:space="preserve"> </v>
      </c>
      <c r="B379" s="225"/>
      <c r="C379" s="228"/>
      <c r="D379" s="219" t="s">
        <v>1329</v>
      </c>
    </row>
    <row r="380" spans="1:4" ht="50.1" customHeight="1" x14ac:dyDescent="0.25">
      <c r="A380" t="str">
        <f t="shared" si="5"/>
        <v>26.30.00 Fremstilling af kommunikationsudstyr</v>
      </c>
      <c r="B380" s="223" t="s">
        <v>1330</v>
      </c>
      <c r="C380" s="226" t="s">
        <v>1331</v>
      </c>
      <c r="D380" s="217" t="s">
        <v>1332</v>
      </c>
    </row>
    <row r="381" spans="1:4" ht="50.1" customHeight="1" x14ac:dyDescent="0.25">
      <c r="A381" t="str">
        <f t="shared" si="5"/>
        <v xml:space="preserve"> </v>
      </c>
      <c r="B381" s="224"/>
      <c r="C381" s="227"/>
      <c r="D381" s="218"/>
    </row>
    <row r="382" spans="1:4" ht="50.1" customHeight="1" thickBot="1" x14ac:dyDescent="0.3">
      <c r="A382" t="str">
        <f t="shared" si="5"/>
        <v xml:space="preserve"> </v>
      </c>
      <c r="B382" s="225"/>
      <c r="C382" s="228"/>
      <c r="D382" s="219" t="s">
        <v>1333</v>
      </c>
    </row>
    <row r="383" spans="1:4" ht="50.1" customHeight="1" x14ac:dyDescent="0.25">
      <c r="A383" t="str">
        <f t="shared" si="5"/>
        <v>26.40.00 Fremstilling af elektronik til husholdninger</v>
      </c>
      <c r="B383" s="223" t="s">
        <v>1334</v>
      </c>
      <c r="C383" s="226" t="s">
        <v>1335</v>
      </c>
      <c r="D383" s="217" t="s">
        <v>1336</v>
      </c>
    </row>
    <row r="384" spans="1:4" ht="50.1" customHeight="1" x14ac:dyDescent="0.25">
      <c r="A384" t="str">
        <f t="shared" si="5"/>
        <v xml:space="preserve"> </v>
      </c>
      <c r="B384" s="224"/>
      <c r="C384" s="227"/>
      <c r="D384" s="218"/>
    </row>
    <row r="385" spans="1:4" ht="50.1" customHeight="1" thickBot="1" x14ac:dyDescent="0.3">
      <c r="A385" t="str">
        <f t="shared" si="5"/>
        <v xml:space="preserve"> </v>
      </c>
      <c r="B385" s="225"/>
      <c r="C385" s="228"/>
      <c r="D385" s="219" t="s">
        <v>1337</v>
      </c>
    </row>
    <row r="386" spans="1:4" ht="50.1" customHeight="1" x14ac:dyDescent="0.25">
      <c r="A386" t="str">
        <f t="shared" si="5"/>
        <v>26.51.00 Fremstilling af instrumenter og udstyr til måling, afprøvning og navigation</v>
      </c>
      <c r="B386" s="223" t="s">
        <v>1338</v>
      </c>
      <c r="C386" s="226" t="s">
        <v>1339</v>
      </c>
      <c r="D386" s="217" t="s">
        <v>1340</v>
      </c>
    </row>
    <row r="387" spans="1:4" ht="50.1" customHeight="1" x14ac:dyDescent="0.25">
      <c r="A387" t="str">
        <f t="shared" ref="A387:A450" si="6">B387 &amp; " " &amp; C387</f>
        <v xml:space="preserve"> </v>
      </c>
      <c r="B387" s="224"/>
      <c r="C387" s="227"/>
      <c r="D387" s="218"/>
    </row>
    <row r="388" spans="1:4" ht="50.1" customHeight="1" thickBot="1" x14ac:dyDescent="0.3">
      <c r="A388" t="str">
        <f t="shared" si="6"/>
        <v xml:space="preserve"> </v>
      </c>
      <c r="B388" s="225"/>
      <c r="C388" s="228"/>
      <c r="D388" s="219" t="s">
        <v>1341</v>
      </c>
    </row>
    <row r="389" spans="1:4" ht="50.1" customHeight="1" thickBot="1" x14ac:dyDescent="0.3">
      <c r="A389" t="str">
        <f t="shared" si="6"/>
        <v>26.52.00 Fremstilling af ure</v>
      </c>
      <c r="B389" s="215" t="s">
        <v>1342</v>
      </c>
      <c r="C389" s="216" t="s">
        <v>1343</v>
      </c>
      <c r="D389" s="216" t="s">
        <v>1344</v>
      </c>
    </row>
    <row r="390" spans="1:4" ht="50.1" customHeight="1" thickBot="1" x14ac:dyDescent="0.3">
      <c r="A390" t="str">
        <f t="shared" si="6"/>
        <v>26.60.10 Fremstilling af høreapparater og dele hertil</v>
      </c>
      <c r="B390" s="215" t="s">
        <v>1345</v>
      </c>
      <c r="C390" s="216" t="s">
        <v>1346</v>
      </c>
      <c r="D390" s="216" t="s">
        <v>1347</v>
      </c>
    </row>
    <row r="391" spans="1:4" ht="50.1" customHeight="1" thickBot="1" x14ac:dyDescent="0.3">
      <c r="A391" t="str">
        <f t="shared" si="6"/>
        <v>26.60.90 Fremstilling af bestrålingsudstyr og elektromedicinsk og elektroterapeutisk udstyr</v>
      </c>
      <c r="B391" s="215" t="s">
        <v>1348</v>
      </c>
      <c r="C391" s="216" t="s">
        <v>1349</v>
      </c>
      <c r="D391" s="216" t="s">
        <v>1350</v>
      </c>
    </row>
    <row r="392" spans="1:4" ht="50.1" customHeight="1" x14ac:dyDescent="0.25">
      <c r="A392" t="str">
        <f t="shared" si="6"/>
        <v>26.70.00 Fremstilling af optiske instrumenter, magnetiske og optiske medier og fotografisk udstyr</v>
      </c>
      <c r="B392" s="223" t="s">
        <v>1351</v>
      </c>
      <c r="C392" s="226" t="s">
        <v>1352</v>
      </c>
      <c r="D392" s="217" t="s">
        <v>1353</v>
      </c>
    </row>
    <row r="393" spans="1:4" ht="50.1" customHeight="1" x14ac:dyDescent="0.25">
      <c r="A393" t="str">
        <f t="shared" si="6"/>
        <v xml:space="preserve"> </v>
      </c>
      <c r="B393" s="224"/>
      <c r="C393" s="227"/>
      <c r="D393" s="218"/>
    </row>
    <row r="394" spans="1:4" ht="50.1" customHeight="1" thickBot="1" x14ac:dyDescent="0.3">
      <c r="A394" t="str">
        <f t="shared" si="6"/>
        <v xml:space="preserve"> </v>
      </c>
      <c r="B394" s="225"/>
      <c r="C394" s="228"/>
      <c r="D394" s="219" t="s">
        <v>1354</v>
      </c>
    </row>
    <row r="395" spans="1:4" ht="50.1" customHeight="1" thickBot="1" x14ac:dyDescent="0.3">
      <c r="A395" t="str">
        <f t="shared" si="6"/>
        <v>27.11.00 Fremstilling af elektriske motorer, generatorer og transformatorer</v>
      </c>
      <c r="B395" s="215" t="s">
        <v>1355</v>
      </c>
      <c r="C395" s="216" t="s">
        <v>1356</v>
      </c>
      <c r="D395" s="216" t="s">
        <v>1357</v>
      </c>
    </row>
    <row r="396" spans="1:4" ht="50.1" customHeight="1" x14ac:dyDescent="0.25">
      <c r="A396" t="str">
        <f t="shared" si="6"/>
        <v>27.12.00 Fremstilling af elektriske fordelings- og kontrolapparater</v>
      </c>
      <c r="B396" s="223" t="s">
        <v>1358</v>
      </c>
      <c r="C396" s="226" t="s">
        <v>1359</v>
      </c>
      <c r="D396" s="217" t="s">
        <v>1360</v>
      </c>
    </row>
    <row r="397" spans="1:4" ht="50.1" customHeight="1" x14ac:dyDescent="0.25">
      <c r="A397" t="str">
        <f t="shared" si="6"/>
        <v xml:space="preserve"> </v>
      </c>
      <c r="B397" s="224"/>
      <c r="C397" s="227"/>
      <c r="D397" s="218"/>
    </row>
    <row r="398" spans="1:4" ht="50.1" customHeight="1" thickBot="1" x14ac:dyDescent="0.3">
      <c r="A398" t="str">
        <f t="shared" si="6"/>
        <v xml:space="preserve"> </v>
      </c>
      <c r="B398" s="225"/>
      <c r="C398" s="228"/>
      <c r="D398" s="219" t="s">
        <v>1361</v>
      </c>
    </row>
    <row r="399" spans="1:4" ht="50.1" customHeight="1" thickBot="1" x14ac:dyDescent="0.3">
      <c r="A399" t="str">
        <f t="shared" si="6"/>
        <v>27.20.00 Fremstilling af batterier og akkumulatorer</v>
      </c>
      <c r="B399" s="215" t="s">
        <v>1362</v>
      </c>
      <c r="C399" s="216" t="s">
        <v>1363</v>
      </c>
      <c r="D399" s="216" t="s">
        <v>1364</v>
      </c>
    </row>
    <row r="400" spans="1:4" ht="50.1" customHeight="1" thickBot="1" x14ac:dyDescent="0.3">
      <c r="A400" t="str">
        <f t="shared" si="6"/>
        <v>27.31.00 Fremstilling af lyslederkabler</v>
      </c>
      <c r="B400" s="215" t="s">
        <v>1365</v>
      </c>
      <c r="C400" s="216" t="s">
        <v>1366</v>
      </c>
      <c r="D400" s="216" t="s">
        <v>1367</v>
      </c>
    </row>
    <row r="401" spans="1:4" ht="50.1" customHeight="1" x14ac:dyDescent="0.25">
      <c r="A401" t="str">
        <f t="shared" si="6"/>
        <v>27.32.00 Fremstilling af andre elektroniske og elektriske ledninger og kabler</v>
      </c>
      <c r="B401" s="223" t="s">
        <v>1368</v>
      </c>
      <c r="C401" s="226" t="s">
        <v>1369</v>
      </c>
      <c r="D401" s="217" t="s">
        <v>1370</v>
      </c>
    </row>
    <row r="402" spans="1:4" ht="50.1" customHeight="1" x14ac:dyDescent="0.25">
      <c r="A402" t="str">
        <f t="shared" si="6"/>
        <v xml:space="preserve"> </v>
      </c>
      <c r="B402" s="224"/>
      <c r="C402" s="227"/>
      <c r="D402" s="218"/>
    </row>
    <row r="403" spans="1:4" ht="50.1" customHeight="1" thickBot="1" x14ac:dyDescent="0.3">
      <c r="A403" t="str">
        <f t="shared" si="6"/>
        <v xml:space="preserve"> </v>
      </c>
      <c r="B403" s="225"/>
      <c r="C403" s="228"/>
      <c r="D403" s="219" t="s">
        <v>1371</v>
      </c>
    </row>
    <row r="404" spans="1:4" ht="50.1" customHeight="1" x14ac:dyDescent="0.25">
      <c r="A404" t="str">
        <f t="shared" si="6"/>
        <v>27.33.00 Fremstilling af tilbehør til ledninger og kabler</v>
      </c>
      <c r="B404" s="223" t="s">
        <v>1372</v>
      </c>
      <c r="C404" s="226" t="s">
        <v>1373</v>
      </c>
      <c r="D404" s="217" t="s">
        <v>1374</v>
      </c>
    </row>
    <row r="405" spans="1:4" ht="50.1" customHeight="1" x14ac:dyDescent="0.25">
      <c r="A405" t="str">
        <f t="shared" si="6"/>
        <v xml:space="preserve"> </v>
      </c>
      <c r="B405" s="224"/>
      <c r="C405" s="227"/>
      <c r="D405" s="218"/>
    </row>
    <row r="406" spans="1:4" ht="50.1" customHeight="1" thickBot="1" x14ac:dyDescent="0.3">
      <c r="A406" t="str">
        <f t="shared" si="6"/>
        <v xml:space="preserve"> </v>
      </c>
      <c r="B406" s="225"/>
      <c r="C406" s="228"/>
      <c r="D406" s="219" t="s">
        <v>1375</v>
      </c>
    </row>
    <row r="407" spans="1:4" ht="50.1" customHeight="1" thickBot="1" x14ac:dyDescent="0.3">
      <c r="A407" t="str">
        <f t="shared" si="6"/>
        <v>27.40.00 Fremstilling af belysningsartikler</v>
      </c>
      <c r="B407" s="215" t="s">
        <v>1376</v>
      </c>
      <c r="C407" s="216" t="s">
        <v>1377</v>
      </c>
      <c r="D407" s="216" t="s">
        <v>1378</v>
      </c>
    </row>
    <row r="408" spans="1:4" ht="50.1" customHeight="1" thickBot="1" x14ac:dyDescent="0.3">
      <c r="A408" t="str">
        <f t="shared" si="6"/>
        <v>27.51.00 Fremstilling af elektriske husholdningsapparater</v>
      </c>
      <c r="B408" s="215" t="s">
        <v>1379</v>
      </c>
      <c r="C408" s="216" t="s">
        <v>1380</v>
      </c>
      <c r="D408" s="216" t="s">
        <v>1381</v>
      </c>
    </row>
    <row r="409" spans="1:4" ht="50.1" customHeight="1" thickBot="1" x14ac:dyDescent="0.3">
      <c r="A409" t="str">
        <f t="shared" si="6"/>
        <v>27.52.00 Fremstilling af ikke-elektriske husholdningsapparater</v>
      </c>
      <c r="B409" s="215" t="s">
        <v>1382</v>
      </c>
      <c r="C409" s="216" t="s">
        <v>1383</v>
      </c>
      <c r="D409" s="216" t="s">
        <v>1384</v>
      </c>
    </row>
    <row r="410" spans="1:4" ht="50.1" customHeight="1" thickBot="1" x14ac:dyDescent="0.3">
      <c r="A410" t="str">
        <f t="shared" si="6"/>
        <v>27.90.00 Fremstilling af andet elektrisk udstyr</v>
      </c>
      <c r="B410" s="215" t="s">
        <v>1385</v>
      </c>
      <c r="C410" s="216" t="s">
        <v>1386</v>
      </c>
      <c r="D410" s="216" t="s">
        <v>1387</v>
      </c>
    </row>
    <row r="411" spans="1:4" ht="50.1" customHeight="1" x14ac:dyDescent="0.25">
      <c r="A411" t="str">
        <f t="shared" si="6"/>
        <v>28.11.00 Fremstilling af motorer og turbiner, undtagen motorer til flyvemaskiner, motorkøretøjer og knallerter</v>
      </c>
      <c r="B411" s="223" t="s">
        <v>1388</v>
      </c>
      <c r="C411" s="226" t="s">
        <v>1389</v>
      </c>
      <c r="D411" s="217" t="s">
        <v>1390</v>
      </c>
    </row>
    <row r="412" spans="1:4" ht="50.1" customHeight="1" x14ac:dyDescent="0.25">
      <c r="A412" t="str">
        <f t="shared" si="6"/>
        <v xml:space="preserve"> </v>
      </c>
      <c r="B412" s="224"/>
      <c r="C412" s="227"/>
      <c r="D412" s="218"/>
    </row>
    <row r="413" spans="1:4" ht="50.1" customHeight="1" thickBot="1" x14ac:dyDescent="0.3">
      <c r="A413" t="str">
        <f t="shared" si="6"/>
        <v xml:space="preserve"> </v>
      </c>
      <c r="B413" s="225"/>
      <c r="C413" s="228"/>
      <c r="D413" s="219" t="s">
        <v>1391</v>
      </c>
    </row>
    <row r="414" spans="1:4" ht="50.1" customHeight="1" thickBot="1" x14ac:dyDescent="0.3">
      <c r="A414" t="str">
        <f t="shared" si="6"/>
        <v>28.12.00 Fremstilling af hydraulisk udstyr</v>
      </c>
      <c r="B414" s="215" t="s">
        <v>1392</v>
      </c>
      <c r="C414" s="216" t="s">
        <v>1393</v>
      </c>
      <c r="D414" s="216" t="s">
        <v>1394</v>
      </c>
    </row>
    <row r="415" spans="1:4" ht="50.1" customHeight="1" thickBot="1" x14ac:dyDescent="0.3">
      <c r="A415" t="str">
        <f t="shared" si="6"/>
        <v>28.13.00 Fremstilling af andre pumper og kompressorer</v>
      </c>
      <c r="B415" s="215" t="s">
        <v>1395</v>
      </c>
      <c r="C415" s="216" t="s">
        <v>1396</v>
      </c>
      <c r="D415" s="216" t="s">
        <v>1397</v>
      </c>
    </row>
    <row r="416" spans="1:4" ht="50.1" customHeight="1" x14ac:dyDescent="0.25">
      <c r="A416" t="str">
        <f t="shared" si="6"/>
        <v>28.14.00 Fremstilling af andre haner og ventiler</v>
      </c>
      <c r="B416" s="223" t="s">
        <v>1398</v>
      </c>
      <c r="C416" s="226" t="s">
        <v>1399</v>
      </c>
      <c r="D416" s="217" t="s">
        <v>1400</v>
      </c>
    </row>
    <row r="417" spans="1:4" ht="50.1" customHeight="1" x14ac:dyDescent="0.25">
      <c r="A417" t="str">
        <f t="shared" si="6"/>
        <v xml:space="preserve"> </v>
      </c>
      <c r="B417" s="224"/>
      <c r="C417" s="227"/>
      <c r="D417" s="218"/>
    </row>
    <row r="418" spans="1:4" ht="50.1" customHeight="1" thickBot="1" x14ac:dyDescent="0.3">
      <c r="A418" t="str">
        <f t="shared" si="6"/>
        <v xml:space="preserve"> </v>
      </c>
      <c r="B418" s="225"/>
      <c r="C418" s="228"/>
      <c r="D418" s="219" t="s">
        <v>1401</v>
      </c>
    </row>
    <row r="419" spans="1:4" ht="50.1" customHeight="1" x14ac:dyDescent="0.25">
      <c r="A419" t="str">
        <f t="shared" si="6"/>
        <v>28.15.00 Fremstilling af lejer, tandhjul, tandhjulsudvekslinger og drivelementer</v>
      </c>
      <c r="B419" s="223" t="s">
        <v>1402</v>
      </c>
      <c r="C419" s="226" t="s">
        <v>1403</v>
      </c>
      <c r="D419" s="217" t="s">
        <v>1404</v>
      </c>
    </row>
    <row r="420" spans="1:4" ht="50.1" customHeight="1" x14ac:dyDescent="0.25">
      <c r="A420" t="str">
        <f t="shared" si="6"/>
        <v xml:space="preserve"> </v>
      </c>
      <c r="B420" s="224"/>
      <c r="C420" s="227"/>
      <c r="D420" s="218"/>
    </row>
    <row r="421" spans="1:4" ht="50.1" customHeight="1" thickBot="1" x14ac:dyDescent="0.3">
      <c r="A421" t="str">
        <f t="shared" si="6"/>
        <v xml:space="preserve"> </v>
      </c>
      <c r="B421" s="225"/>
      <c r="C421" s="228"/>
      <c r="D421" s="219" t="s">
        <v>1405</v>
      </c>
    </row>
    <row r="422" spans="1:4" ht="50.1" customHeight="1" x14ac:dyDescent="0.25">
      <c r="A422" t="str">
        <f t="shared" si="6"/>
        <v>28.21.00 Fremstilling af ovne, ildsteder og fyringsaggregater til boligopvarmning</v>
      </c>
      <c r="B422" s="223" t="s">
        <v>1406</v>
      </c>
      <c r="C422" s="226" t="s">
        <v>1407</v>
      </c>
      <c r="D422" s="217" t="s">
        <v>1408</v>
      </c>
    </row>
    <row r="423" spans="1:4" ht="50.1" customHeight="1" x14ac:dyDescent="0.25">
      <c r="A423" t="str">
        <f t="shared" si="6"/>
        <v xml:space="preserve"> </v>
      </c>
      <c r="B423" s="224"/>
      <c r="C423" s="227"/>
      <c r="D423" s="218"/>
    </row>
    <row r="424" spans="1:4" ht="50.1" customHeight="1" thickBot="1" x14ac:dyDescent="0.3">
      <c r="A424" t="str">
        <f t="shared" si="6"/>
        <v xml:space="preserve"> </v>
      </c>
      <c r="B424" s="225"/>
      <c r="C424" s="228"/>
      <c r="D424" s="219" t="s">
        <v>1409</v>
      </c>
    </row>
    <row r="425" spans="1:4" ht="50.1" customHeight="1" x14ac:dyDescent="0.25">
      <c r="A425" t="str">
        <f t="shared" si="6"/>
        <v>28.22.00 Fremstilling af løfte- og håndteringsudstyr</v>
      </c>
      <c r="B425" s="223" t="s">
        <v>1410</v>
      </c>
      <c r="C425" s="226" t="s">
        <v>1411</v>
      </c>
      <c r="D425" s="217" t="s">
        <v>1412</v>
      </c>
    </row>
    <row r="426" spans="1:4" ht="50.1" customHeight="1" x14ac:dyDescent="0.25">
      <c r="A426" t="str">
        <f t="shared" si="6"/>
        <v xml:space="preserve"> </v>
      </c>
      <c r="B426" s="224"/>
      <c r="C426" s="227"/>
      <c r="D426" s="218"/>
    </row>
    <row r="427" spans="1:4" ht="50.1" customHeight="1" thickBot="1" x14ac:dyDescent="0.3">
      <c r="A427" t="str">
        <f t="shared" si="6"/>
        <v xml:space="preserve"> </v>
      </c>
      <c r="B427" s="225"/>
      <c r="C427" s="228"/>
      <c r="D427" s="219" t="s">
        <v>1413</v>
      </c>
    </row>
    <row r="428" spans="1:4" ht="50.1" customHeight="1" x14ac:dyDescent="0.25">
      <c r="A428" t="str">
        <f t="shared" si="6"/>
        <v>28.23.00 Fremstilling af kontormaskiner og -udstyr, undtagen computere og ydre enheder</v>
      </c>
      <c r="B428" s="223" t="s">
        <v>1414</v>
      </c>
      <c r="C428" s="226" t="s">
        <v>1415</v>
      </c>
      <c r="D428" s="217" t="s">
        <v>1416</v>
      </c>
    </row>
    <row r="429" spans="1:4" ht="50.1" customHeight="1" x14ac:dyDescent="0.25">
      <c r="A429" t="str">
        <f t="shared" si="6"/>
        <v xml:space="preserve"> </v>
      </c>
      <c r="B429" s="224"/>
      <c r="C429" s="227"/>
      <c r="D429" s="218"/>
    </row>
    <row r="430" spans="1:4" ht="50.1" customHeight="1" thickBot="1" x14ac:dyDescent="0.3">
      <c r="A430" t="str">
        <f t="shared" si="6"/>
        <v xml:space="preserve"> </v>
      </c>
      <c r="B430" s="225"/>
      <c r="C430" s="228"/>
      <c r="D430" s="219" t="s">
        <v>1417</v>
      </c>
    </row>
    <row r="431" spans="1:4" ht="50.1" customHeight="1" thickBot="1" x14ac:dyDescent="0.3">
      <c r="A431" t="str">
        <f t="shared" si="6"/>
        <v>28.24.00 Fremstilling af motordrevet håndværktøj</v>
      </c>
      <c r="B431" s="215" t="s">
        <v>1418</v>
      </c>
      <c r="C431" s="216" t="s">
        <v>1419</v>
      </c>
      <c r="D431" s="216" t="s">
        <v>1420</v>
      </c>
    </row>
    <row r="432" spans="1:4" ht="50.1" customHeight="1" thickBot="1" x14ac:dyDescent="0.3">
      <c r="A432" t="str">
        <f t="shared" si="6"/>
        <v>28.25.00 Fremstilling af klimaanlæg, ikke til husholdningsbrug</v>
      </c>
      <c r="B432" s="215" t="s">
        <v>1421</v>
      </c>
      <c r="C432" s="216" t="s">
        <v>1422</v>
      </c>
      <c r="D432" s="216" t="s">
        <v>1423</v>
      </c>
    </row>
    <row r="433" spans="1:4" ht="50.1" customHeight="1" thickBot="1" x14ac:dyDescent="0.3">
      <c r="A433" t="str">
        <f t="shared" si="6"/>
        <v>28.29.00 Fremstilling af andre maskiner til generelle formål i.a.n.</v>
      </c>
      <c r="B433" s="215" t="s">
        <v>1424</v>
      </c>
      <c r="C433" s="216" t="s">
        <v>1425</v>
      </c>
      <c r="D433" s="216" t="s">
        <v>1426</v>
      </c>
    </row>
    <row r="434" spans="1:4" ht="50.1" customHeight="1" thickBot="1" x14ac:dyDescent="0.3">
      <c r="A434" t="str">
        <f t="shared" si="6"/>
        <v>28.30.00 Fremstilling af landbrugs- og skovbrugsmaskiner</v>
      </c>
      <c r="B434" s="215" t="s">
        <v>1427</v>
      </c>
      <c r="C434" s="216" t="s">
        <v>1428</v>
      </c>
      <c r="D434" s="216" t="s">
        <v>1429</v>
      </c>
    </row>
    <row r="435" spans="1:4" ht="50.1" customHeight="1" thickBot="1" x14ac:dyDescent="0.3">
      <c r="A435" t="str">
        <f t="shared" si="6"/>
        <v>28.41.00 Fremstilling af metalforarbejdende maskiner og maskinværktøj til bearbejdning af metal</v>
      </c>
      <c r="B435" s="215" t="s">
        <v>1430</v>
      </c>
      <c r="C435" s="216" t="s">
        <v>1431</v>
      </c>
      <c r="D435" s="216" t="s">
        <v>1432</v>
      </c>
    </row>
    <row r="436" spans="1:4" ht="50.1" customHeight="1" thickBot="1" x14ac:dyDescent="0.3">
      <c r="A436" t="str">
        <f t="shared" si="6"/>
        <v>28.42.00 Fremstilling af andet maskinværktøj</v>
      </c>
      <c r="B436" s="215" t="s">
        <v>1433</v>
      </c>
      <c r="C436" s="216" t="s">
        <v>1434</v>
      </c>
      <c r="D436" s="216" t="s">
        <v>1435</v>
      </c>
    </row>
    <row r="437" spans="1:4" ht="50.1" customHeight="1" thickBot="1" x14ac:dyDescent="0.3">
      <c r="A437" t="str">
        <f t="shared" si="6"/>
        <v>28.91.00 Fremstilling af maskiner til metallurgi</v>
      </c>
      <c r="B437" s="215" t="s">
        <v>1436</v>
      </c>
      <c r="C437" s="216" t="s">
        <v>1437</v>
      </c>
      <c r="D437" s="216" t="s">
        <v>1438</v>
      </c>
    </row>
    <row r="438" spans="1:4" ht="50.1" customHeight="1" thickBot="1" x14ac:dyDescent="0.3">
      <c r="A438" t="str">
        <f t="shared" si="6"/>
        <v>28.92.00 Fremstilling af maskiner til råstofindvindingsindustrien samt bygge- og anlæg</v>
      </c>
      <c r="B438" s="215" t="s">
        <v>1439</v>
      </c>
      <c r="C438" s="216" t="s">
        <v>1440</v>
      </c>
      <c r="D438" s="216" t="s">
        <v>1441</v>
      </c>
    </row>
    <row r="439" spans="1:4" ht="50.1" customHeight="1" thickBot="1" x14ac:dyDescent="0.3">
      <c r="A439" t="str">
        <f t="shared" si="6"/>
        <v>28.93.00 Fremstilling af maskiner til føde-, drikke- og tobaksvareindustrien</v>
      </c>
      <c r="B439" s="215" t="s">
        <v>1442</v>
      </c>
      <c r="C439" s="216" t="s">
        <v>1443</v>
      </c>
      <c r="D439" s="216" t="s">
        <v>1444</v>
      </c>
    </row>
    <row r="440" spans="1:4" ht="50.1" customHeight="1" thickBot="1" x14ac:dyDescent="0.3">
      <c r="A440" t="str">
        <f t="shared" si="6"/>
        <v>28.94.00 Fremstilling af maskiner til produktion af tekstiler, beklædningsartikler og læder</v>
      </c>
      <c r="B440" s="215" t="s">
        <v>1445</v>
      </c>
      <c r="C440" s="216" t="s">
        <v>1446</v>
      </c>
      <c r="D440" s="216" t="s">
        <v>1447</v>
      </c>
    </row>
    <row r="441" spans="1:4" ht="50.1" customHeight="1" thickBot="1" x14ac:dyDescent="0.3">
      <c r="A441" t="str">
        <f t="shared" si="6"/>
        <v>28.95.00 Fremstilling af maskiner til produktion af papir og pap</v>
      </c>
      <c r="B441" s="215" t="s">
        <v>1448</v>
      </c>
      <c r="C441" s="216" t="s">
        <v>1449</v>
      </c>
      <c r="D441" s="216" t="s">
        <v>1450</v>
      </c>
    </row>
    <row r="442" spans="1:4" ht="50.1" customHeight="1" thickBot="1" x14ac:dyDescent="0.3">
      <c r="A442" t="str">
        <f t="shared" si="6"/>
        <v>28.96.00 Fremstilling af maskiner til produktion af plast og gummi</v>
      </c>
      <c r="B442" s="215" t="s">
        <v>1451</v>
      </c>
      <c r="C442" s="216" t="s">
        <v>1452</v>
      </c>
      <c r="D442" s="216" t="s">
        <v>1453</v>
      </c>
    </row>
    <row r="443" spans="1:4" ht="50.1" customHeight="1" thickBot="1" x14ac:dyDescent="0.3">
      <c r="A443" t="str">
        <f t="shared" si="6"/>
        <v>28.97.00 Fremstilling af maskiner til additiv fremstilling</v>
      </c>
      <c r="B443" s="215" t="s">
        <v>1454</v>
      </c>
      <c r="C443" s="216" t="s">
        <v>1455</v>
      </c>
      <c r="D443" s="216" t="s">
        <v>1456</v>
      </c>
    </row>
    <row r="444" spans="1:4" ht="50.1" customHeight="1" thickBot="1" x14ac:dyDescent="0.3">
      <c r="A444" t="str">
        <f t="shared" si="6"/>
        <v>28.99.00 Fremstilling af andre maskiner til specielle formål i.a.n.</v>
      </c>
      <c r="B444" s="215" t="s">
        <v>1457</v>
      </c>
      <c r="C444" s="216" t="s">
        <v>1458</v>
      </c>
      <c r="D444" s="216" t="s">
        <v>1459</v>
      </c>
    </row>
    <row r="445" spans="1:4" ht="50.1" customHeight="1" x14ac:dyDescent="0.25">
      <c r="A445" t="str">
        <f t="shared" si="6"/>
        <v>29.10.00 Fremstilling af motorkøretøjer</v>
      </c>
      <c r="B445" s="223" t="s">
        <v>1460</v>
      </c>
      <c r="C445" s="226" t="s">
        <v>1461</v>
      </c>
      <c r="D445" s="217" t="s">
        <v>1462</v>
      </c>
    </row>
    <row r="446" spans="1:4" ht="50.1" customHeight="1" x14ac:dyDescent="0.25">
      <c r="A446" t="str">
        <f t="shared" si="6"/>
        <v xml:space="preserve"> </v>
      </c>
      <c r="B446" s="224"/>
      <c r="C446" s="227"/>
      <c r="D446" s="218"/>
    </row>
    <row r="447" spans="1:4" ht="50.1" customHeight="1" thickBot="1" x14ac:dyDescent="0.3">
      <c r="A447" t="str">
        <f t="shared" si="6"/>
        <v xml:space="preserve"> </v>
      </c>
      <c r="B447" s="225"/>
      <c r="C447" s="228"/>
      <c r="D447" s="219" t="s">
        <v>1463</v>
      </c>
    </row>
    <row r="448" spans="1:4" ht="50.1" customHeight="1" x14ac:dyDescent="0.25">
      <c r="A448" t="str">
        <f t="shared" si="6"/>
        <v>29.20.00 Fremstilling af karosserier til motorkøretøjer; fremstilling af påhængsvogne og sættevogne</v>
      </c>
      <c r="B448" s="223" t="s">
        <v>1464</v>
      </c>
      <c r="C448" s="226" t="s">
        <v>1465</v>
      </c>
      <c r="D448" s="217" t="s">
        <v>1466</v>
      </c>
    </row>
    <row r="449" spans="1:4" ht="50.1" customHeight="1" x14ac:dyDescent="0.25">
      <c r="A449" t="str">
        <f t="shared" si="6"/>
        <v xml:space="preserve"> </v>
      </c>
      <c r="B449" s="224"/>
      <c r="C449" s="227"/>
      <c r="D449" s="218"/>
    </row>
    <row r="450" spans="1:4" ht="50.1" customHeight="1" thickBot="1" x14ac:dyDescent="0.3">
      <c r="A450" t="str">
        <f t="shared" si="6"/>
        <v xml:space="preserve"> </v>
      </c>
      <c r="B450" s="225"/>
      <c r="C450" s="228"/>
      <c r="D450" s="219" t="s">
        <v>1467</v>
      </c>
    </row>
    <row r="451" spans="1:4" ht="50.1" customHeight="1" x14ac:dyDescent="0.25">
      <c r="A451" t="str">
        <f t="shared" ref="A451:A514" si="7">B451 &amp; " " &amp; C451</f>
        <v>29.31.00 Fremstilling af elektrisk og elektronisk udstyr til motorkøretøjer</v>
      </c>
      <c r="B451" s="223" t="s">
        <v>1468</v>
      </c>
      <c r="C451" s="226" t="s">
        <v>1469</v>
      </c>
      <c r="D451" s="217" t="s">
        <v>1470</v>
      </c>
    </row>
    <row r="452" spans="1:4" ht="50.1" customHeight="1" x14ac:dyDescent="0.25">
      <c r="A452" t="str">
        <f t="shared" si="7"/>
        <v xml:space="preserve"> </v>
      </c>
      <c r="B452" s="224"/>
      <c r="C452" s="227"/>
      <c r="D452" s="218"/>
    </row>
    <row r="453" spans="1:4" ht="50.1" customHeight="1" thickBot="1" x14ac:dyDescent="0.3">
      <c r="A453" t="str">
        <f t="shared" si="7"/>
        <v xml:space="preserve"> </v>
      </c>
      <c r="B453" s="225"/>
      <c r="C453" s="228"/>
      <c r="D453" s="219" t="s">
        <v>1471</v>
      </c>
    </row>
    <row r="454" spans="1:4" ht="50.1" customHeight="1" thickBot="1" x14ac:dyDescent="0.3">
      <c r="A454" t="str">
        <f t="shared" si="7"/>
        <v>29.32.00 Fremstilling af andre dele og tilbehør til motorkøretøjer</v>
      </c>
      <c r="B454" s="215" t="s">
        <v>1472</v>
      </c>
      <c r="C454" s="216" t="s">
        <v>1473</v>
      </c>
      <c r="D454" s="216" t="s">
        <v>1474</v>
      </c>
    </row>
    <row r="455" spans="1:4" ht="50.1" customHeight="1" x14ac:dyDescent="0.25">
      <c r="A455" t="str">
        <f t="shared" si="7"/>
        <v>30.11.00 Bygning af civile skibe og flydende materiel</v>
      </c>
      <c r="B455" s="223" t="s">
        <v>1475</v>
      </c>
      <c r="C455" s="226" t="s">
        <v>1476</v>
      </c>
      <c r="D455" s="217" t="s">
        <v>1477</v>
      </c>
    </row>
    <row r="456" spans="1:4" ht="50.1" customHeight="1" x14ac:dyDescent="0.25">
      <c r="A456" t="str">
        <f t="shared" si="7"/>
        <v xml:space="preserve"> </v>
      </c>
      <c r="B456" s="224"/>
      <c r="C456" s="227"/>
      <c r="D456" s="218"/>
    </row>
    <row r="457" spans="1:4" ht="50.1" customHeight="1" thickBot="1" x14ac:dyDescent="0.3">
      <c r="A457" t="str">
        <f t="shared" si="7"/>
        <v xml:space="preserve"> </v>
      </c>
      <c r="B457" s="225"/>
      <c r="C457" s="228"/>
      <c r="D457" s="219" t="s">
        <v>1478</v>
      </c>
    </row>
    <row r="458" spans="1:4" ht="50.1" customHeight="1" x14ac:dyDescent="0.25">
      <c r="A458" t="str">
        <f t="shared" si="7"/>
        <v>30.12.00 Bygning af både til fritid og sport</v>
      </c>
      <c r="B458" s="223" t="s">
        <v>1479</v>
      </c>
      <c r="C458" s="226" t="s">
        <v>1480</v>
      </c>
      <c r="D458" s="217" t="s">
        <v>1481</v>
      </c>
    </row>
    <row r="459" spans="1:4" ht="50.1" customHeight="1" x14ac:dyDescent="0.25">
      <c r="A459" t="str">
        <f t="shared" si="7"/>
        <v xml:space="preserve"> </v>
      </c>
      <c r="B459" s="224"/>
      <c r="C459" s="227"/>
      <c r="D459" s="218"/>
    </row>
    <row r="460" spans="1:4" ht="50.1" customHeight="1" thickBot="1" x14ac:dyDescent="0.3">
      <c r="A460" t="str">
        <f t="shared" si="7"/>
        <v xml:space="preserve"> </v>
      </c>
      <c r="B460" s="225"/>
      <c r="C460" s="228"/>
      <c r="D460" s="219" t="s">
        <v>1482</v>
      </c>
    </row>
    <row r="461" spans="1:4" ht="50.1" customHeight="1" thickBot="1" x14ac:dyDescent="0.3">
      <c r="A461" t="str">
        <f t="shared" si="7"/>
        <v>30.13.00 Bygning af militærfartøjer</v>
      </c>
      <c r="B461" s="215" t="s">
        <v>1483</v>
      </c>
      <c r="C461" s="216" t="s">
        <v>1484</v>
      </c>
      <c r="D461" s="216" t="s">
        <v>1485</v>
      </c>
    </row>
    <row r="462" spans="1:4" ht="50.1" customHeight="1" x14ac:dyDescent="0.25">
      <c r="A462" t="str">
        <f t="shared" si="7"/>
        <v>30.20.00 Fremstilling af lokomotiver og andet rullende materiel til jernbaner og sporveje</v>
      </c>
      <c r="B462" s="223" t="s">
        <v>1486</v>
      </c>
      <c r="C462" s="226" t="s">
        <v>1487</v>
      </c>
      <c r="D462" s="217" t="s">
        <v>1488</v>
      </c>
    </row>
    <row r="463" spans="1:4" ht="50.1" customHeight="1" x14ac:dyDescent="0.25">
      <c r="A463" t="str">
        <f t="shared" si="7"/>
        <v xml:space="preserve"> </v>
      </c>
      <c r="B463" s="224"/>
      <c r="C463" s="227"/>
      <c r="D463" s="218"/>
    </row>
    <row r="464" spans="1:4" ht="50.1" customHeight="1" thickBot="1" x14ac:dyDescent="0.3">
      <c r="A464" t="str">
        <f t="shared" si="7"/>
        <v xml:space="preserve"> </v>
      </c>
      <c r="B464" s="225"/>
      <c r="C464" s="228"/>
      <c r="D464" s="219" t="s">
        <v>1489</v>
      </c>
    </row>
    <row r="465" spans="1:4" ht="50.1" customHeight="1" x14ac:dyDescent="0.25">
      <c r="A465" t="str">
        <f t="shared" si="7"/>
        <v>30.31.00 Fremstilling af civile luft- og rumfartøjer o.lign.</v>
      </c>
      <c r="B465" s="223" t="s">
        <v>1490</v>
      </c>
      <c r="C465" s="226" t="s">
        <v>1491</v>
      </c>
      <c r="D465" s="217" t="s">
        <v>1492</v>
      </c>
    </row>
    <row r="466" spans="1:4" ht="50.1" customHeight="1" x14ac:dyDescent="0.25">
      <c r="A466" t="str">
        <f t="shared" si="7"/>
        <v xml:space="preserve"> </v>
      </c>
      <c r="B466" s="224"/>
      <c r="C466" s="227"/>
      <c r="D466" s="218"/>
    </row>
    <row r="467" spans="1:4" ht="50.1" customHeight="1" thickBot="1" x14ac:dyDescent="0.3">
      <c r="A467" t="str">
        <f t="shared" si="7"/>
        <v xml:space="preserve"> </v>
      </c>
      <c r="B467" s="225"/>
      <c r="C467" s="228"/>
      <c r="D467" s="219" t="s">
        <v>1493</v>
      </c>
    </row>
    <row r="468" spans="1:4" ht="50.1" customHeight="1" x14ac:dyDescent="0.25">
      <c r="A468" t="str">
        <f t="shared" si="7"/>
        <v>30.32.00 Fremstilling af militære luft- og rumfartøjer o.lign.</v>
      </c>
      <c r="B468" s="223" t="s">
        <v>1494</v>
      </c>
      <c r="C468" s="226" t="s">
        <v>1495</v>
      </c>
      <c r="D468" s="217" t="s">
        <v>1496</v>
      </c>
    </row>
    <row r="469" spans="1:4" ht="50.1" customHeight="1" x14ac:dyDescent="0.25">
      <c r="A469" t="str">
        <f t="shared" si="7"/>
        <v xml:space="preserve"> </v>
      </c>
      <c r="B469" s="224"/>
      <c r="C469" s="227"/>
      <c r="D469" s="218"/>
    </row>
    <row r="470" spans="1:4" ht="50.1" customHeight="1" thickBot="1" x14ac:dyDescent="0.3">
      <c r="A470" t="str">
        <f t="shared" si="7"/>
        <v xml:space="preserve"> </v>
      </c>
      <c r="B470" s="225"/>
      <c r="C470" s="228"/>
      <c r="D470" s="219" t="s">
        <v>1497</v>
      </c>
    </row>
    <row r="471" spans="1:4" ht="50.1" customHeight="1" x14ac:dyDescent="0.25">
      <c r="A471" t="str">
        <f t="shared" si="7"/>
        <v>30.40.00 Fremstilling af militære kampkøretøjer</v>
      </c>
      <c r="B471" s="223" t="s">
        <v>1498</v>
      </c>
      <c r="C471" s="226" t="s">
        <v>1499</v>
      </c>
      <c r="D471" s="217" t="s">
        <v>1500</v>
      </c>
    </row>
    <row r="472" spans="1:4" ht="50.1" customHeight="1" x14ac:dyDescent="0.25">
      <c r="A472" t="str">
        <f t="shared" si="7"/>
        <v xml:space="preserve"> </v>
      </c>
      <c r="B472" s="224"/>
      <c r="C472" s="227"/>
      <c r="D472" s="218"/>
    </row>
    <row r="473" spans="1:4" ht="50.1" customHeight="1" thickBot="1" x14ac:dyDescent="0.3">
      <c r="A473" t="str">
        <f t="shared" si="7"/>
        <v xml:space="preserve"> </v>
      </c>
      <c r="B473" s="225"/>
      <c r="C473" s="228"/>
      <c r="D473" s="219" t="s">
        <v>1501</v>
      </c>
    </row>
    <row r="474" spans="1:4" ht="50.1" customHeight="1" x14ac:dyDescent="0.25">
      <c r="A474" t="str">
        <f t="shared" si="7"/>
        <v>30.91.00 Fremstilling af motorcykler</v>
      </c>
      <c r="B474" s="223" t="s">
        <v>1502</v>
      </c>
      <c r="C474" s="226" t="s">
        <v>1503</v>
      </c>
      <c r="D474" s="217" t="s">
        <v>1504</v>
      </c>
    </row>
    <row r="475" spans="1:4" ht="50.1" customHeight="1" x14ac:dyDescent="0.25">
      <c r="A475" t="str">
        <f t="shared" si="7"/>
        <v xml:space="preserve"> </v>
      </c>
      <c r="B475" s="224"/>
      <c r="C475" s="227"/>
      <c r="D475" s="218"/>
    </row>
    <row r="476" spans="1:4" ht="50.1" customHeight="1" thickBot="1" x14ac:dyDescent="0.3">
      <c r="A476" t="str">
        <f t="shared" si="7"/>
        <v xml:space="preserve"> </v>
      </c>
      <c r="B476" s="225"/>
      <c r="C476" s="228"/>
      <c r="D476" s="219" t="s">
        <v>1505</v>
      </c>
    </row>
    <row r="477" spans="1:4" ht="50.1" customHeight="1" thickBot="1" x14ac:dyDescent="0.3">
      <c r="A477" t="str">
        <f t="shared" si="7"/>
        <v>30.92.00 Fremstilling af cykler og kørestole</v>
      </c>
      <c r="B477" s="215" t="s">
        <v>1506</v>
      </c>
      <c r="C477" s="216" t="s">
        <v>1507</v>
      </c>
      <c r="D477" s="216" t="s">
        <v>1508</v>
      </c>
    </row>
    <row r="478" spans="1:4" ht="50.1" customHeight="1" x14ac:dyDescent="0.25">
      <c r="A478" t="str">
        <f t="shared" si="7"/>
        <v>30.99.00 Fremstilling af andre transportmidler i.a.n.</v>
      </c>
      <c r="B478" s="223" t="s">
        <v>1509</v>
      </c>
      <c r="C478" s="226" t="s">
        <v>1510</v>
      </c>
      <c r="D478" s="217" t="s">
        <v>1511</v>
      </c>
    </row>
    <row r="479" spans="1:4" ht="50.1" customHeight="1" x14ac:dyDescent="0.25">
      <c r="A479" t="str">
        <f t="shared" si="7"/>
        <v xml:space="preserve"> </v>
      </c>
      <c r="B479" s="224"/>
      <c r="C479" s="227"/>
      <c r="D479" s="218"/>
    </row>
    <row r="480" spans="1:4" ht="50.1" customHeight="1" thickBot="1" x14ac:dyDescent="0.3">
      <c r="A480" t="str">
        <f t="shared" si="7"/>
        <v xml:space="preserve"> </v>
      </c>
      <c r="B480" s="225"/>
      <c r="C480" s="228"/>
      <c r="D480" s="219" t="s">
        <v>1512</v>
      </c>
    </row>
    <row r="481" spans="1:4" ht="50.1" customHeight="1" thickBot="1" x14ac:dyDescent="0.3">
      <c r="A481" t="str">
        <f t="shared" si="7"/>
        <v>31.00.00 Fremstilling af møbler</v>
      </c>
      <c r="B481" s="215" t="s">
        <v>1513</v>
      </c>
      <c r="C481" s="216" t="s">
        <v>1514</v>
      </c>
      <c r="D481" s="216" t="s">
        <v>1515</v>
      </c>
    </row>
    <row r="482" spans="1:4" ht="50.1" customHeight="1" thickBot="1" x14ac:dyDescent="0.3">
      <c r="A482" t="str">
        <f t="shared" si="7"/>
        <v>32.11.00 Prægning af mønter</v>
      </c>
      <c r="B482" s="215" t="s">
        <v>1516</v>
      </c>
      <c r="C482" s="216" t="s">
        <v>1517</v>
      </c>
      <c r="D482" s="216" t="s">
        <v>1518</v>
      </c>
    </row>
    <row r="483" spans="1:4" ht="50.1" customHeight="1" thickBot="1" x14ac:dyDescent="0.3">
      <c r="A483" t="str">
        <f t="shared" si="7"/>
        <v>32.12.00 Fremstilling af smykker og lignende varer</v>
      </c>
      <c r="B483" s="215" t="s">
        <v>1519</v>
      </c>
      <c r="C483" s="216" t="s">
        <v>1520</v>
      </c>
      <c r="D483" s="216" t="s">
        <v>1521</v>
      </c>
    </row>
    <row r="484" spans="1:4" ht="50.1" customHeight="1" thickBot="1" x14ac:dyDescent="0.3">
      <c r="A484" t="str">
        <f t="shared" si="7"/>
        <v>32.13.00 Fremstilling af bijouteri og lignende varer</v>
      </c>
      <c r="B484" s="215" t="s">
        <v>1522</v>
      </c>
      <c r="C484" s="216" t="s">
        <v>1523</v>
      </c>
      <c r="D484" s="216" t="s">
        <v>1524</v>
      </c>
    </row>
    <row r="485" spans="1:4" ht="50.1" customHeight="1" thickBot="1" x14ac:dyDescent="0.3">
      <c r="A485" t="str">
        <f t="shared" si="7"/>
        <v>32.20.00 Fremstilling af musikinstrumenter</v>
      </c>
      <c r="B485" s="215" t="s">
        <v>1525</v>
      </c>
      <c r="C485" s="216" t="s">
        <v>1526</v>
      </c>
      <c r="D485" s="216" t="s">
        <v>1527</v>
      </c>
    </row>
    <row r="486" spans="1:4" ht="50.1" customHeight="1" thickBot="1" x14ac:dyDescent="0.3">
      <c r="A486" t="str">
        <f t="shared" si="7"/>
        <v>32.30.00 Fremstilling af sportsudstyr</v>
      </c>
      <c r="B486" s="215" t="s">
        <v>1528</v>
      </c>
      <c r="C486" s="216" t="s">
        <v>1529</v>
      </c>
      <c r="D486" s="216" t="s">
        <v>1530</v>
      </c>
    </row>
    <row r="487" spans="1:4" ht="50.1" customHeight="1" thickBot="1" x14ac:dyDescent="0.3">
      <c r="A487" t="str">
        <f t="shared" si="7"/>
        <v>32.40.00 Fremstilling af spil og legetøj</v>
      </c>
      <c r="B487" s="215" t="s">
        <v>1531</v>
      </c>
      <c r="C487" s="216" t="s">
        <v>1532</v>
      </c>
      <c r="D487" s="216" t="s">
        <v>1533</v>
      </c>
    </row>
    <row r="488" spans="1:4" ht="50.1" customHeight="1" thickBot="1" x14ac:dyDescent="0.3">
      <c r="A488" t="str">
        <f t="shared" si="7"/>
        <v>32.50.00 Fremstilling af medicinske og dentale instrumenter samt udstyr hertil</v>
      </c>
      <c r="B488" s="215" t="s">
        <v>1534</v>
      </c>
      <c r="C488" s="216" t="s">
        <v>1535</v>
      </c>
      <c r="D488" s="216" t="s">
        <v>1536</v>
      </c>
    </row>
    <row r="489" spans="1:4" ht="50.1" customHeight="1" thickBot="1" x14ac:dyDescent="0.3">
      <c r="A489" t="str">
        <f t="shared" si="7"/>
        <v>32.91.00 Fremstilling af koste og børster</v>
      </c>
      <c r="B489" s="215" t="s">
        <v>1537</v>
      </c>
      <c r="C489" s="216" t="s">
        <v>1538</v>
      </c>
      <c r="D489" s="216" t="s">
        <v>1539</v>
      </c>
    </row>
    <row r="490" spans="1:4" ht="50.1" customHeight="1" x14ac:dyDescent="0.25">
      <c r="A490" t="str">
        <f t="shared" si="7"/>
        <v>32.99.00 Andre fremstillingsaktiviteter i.a.n.</v>
      </c>
      <c r="B490" s="223" t="s">
        <v>1540</v>
      </c>
      <c r="C490" s="226" t="s">
        <v>1541</v>
      </c>
      <c r="D490" s="217" t="s">
        <v>1542</v>
      </c>
    </row>
    <row r="491" spans="1:4" ht="50.1" customHeight="1" x14ac:dyDescent="0.25">
      <c r="A491" t="str">
        <f t="shared" si="7"/>
        <v xml:space="preserve"> </v>
      </c>
      <c r="B491" s="224"/>
      <c r="C491" s="227"/>
      <c r="D491" s="218"/>
    </row>
    <row r="492" spans="1:4" ht="50.1" customHeight="1" thickBot="1" x14ac:dyDescent="0.3">
      <c r="A492" t="str">
        <f t="shared" si="7"/>
        <v xml:space="preserve"> </v>
      </c>
      <c r="B492" s="225"/>
      <c r="C492" s="228"/>
      <c r="D492" s="219" t="s">
        <v>1543</v>
      </c>
    </row>
    <row r="493" spans="1:4" ht="50.1" customHeight="1" thickBot="1" x14ac:dyDescent="0.3">
      <c r="A493" t="str">
        <f t="shared" si="7"/>
        <v>33.11.00 Reparation og vedligeholdelse af færdige metalprodukter</v>
      </c>
      <c r="B493" s="215" t="s">
        <v>1544</v>
      </c>
      <c r="C493" s="216" t="s">
        <v>1545</v>
      </c>
      <c r="D493" s="216" t="s">
        <v>1546</v>
      </c>
    </row>
    <row r="494" spans="1:4" ht="50.1" customHeight="1" thickBot="1" x14ac:dyDescent="0.3">
      <c r="A494" t="str">
        <f t="shared" si="7"/>
        <v>33.12.00 Reparation og vedligeholdelse af maskiner</v>
      </c>
      <c r="B494" s="215" t="s">
        <v>1547</v>
      </c>
      <c r="C494" s="216" t="s">
        <v>1548</v>
      </c>
      <c r="D494" s="216" t="s">
        <v>1549</v>
      </c>
    </row>
    <row r="495" spans="1:4" ht="50.1" customHeight="1" thickBot="1" x14ac:dyDescent="0.3">
      <c r="A495" t="str">
        <f t="shared" si="7"/>
        <v>33.13.00 Reparation og vedligeholdelse af elektronisk og optisk udstyr</v>
      </c>
      <c r="B495" s="215" t="s">
        <v>1550</v>
      </c>
      <c r="C495" s="216" t="s">
        <v>1551</v>
      </c>
      <c r="D495" s="216" t="s">
        <v>1552</v>
      </c>
    </row>
    <row r="496" spans="1:4" ht="50.1" customHeight="1" thickBot="1" x14ac:dyDescent="0.3">
      <c r="A496" t="str">
        <f t="shared" si="7"/>
        <v>33.14.00 Reparation og vedligeholdelse af elektrisk udstyr</v>
      </c>
      <c r="B496" s="215" t="s">
        <v>1553</v>
      </c>
      <c r="C496" s="216" t="s">
        <v>1554</v>
      </c>
      <c r="D496" s="216" t="s">
        <v>1555</v>
      </c>
    </row>
    <row r="497" spans="1:4" ht="50.1" customHeight="1" thickBot="1" x14ac:dyDescent="0.3">
      <c r="A497" t="str">
        <f t="shared" si="7"/>
        <v>33.15.00 Reparation og vedligeholdelse af civile skibe og både</v>
      </c>
      <c r="B497" s="215" t="s">
        <v>1556</v>
      </c>
      <c r="C497" s="216" t="s">
        <v>1557</v>
      </c>
      <c r="D497" s="216" t="s">
        <v>1558</v>
      </c>
    </row>
    <row r="498" spans="1:4" ht="50.1" customHeight="1" x14ac:dyDescent="0.25">
      <c r="A498" t="str">
        <f t="shared" si="7"/>
        <v>33.16.00 Reparation og vedligeholdelse af civile luft- og rumfartøjer</v>
      </c>
      <c r="B498" s="223" t="s">
        <v>1559</v>
      </c>
      <c r="C498" s="226" t="s">
        <v>1560</v>
      </c>
      <c r="D498" s="217" t="s">
        <v>1561</v>
      </c>
    </row>
    <row r="499" spans="1:4" ht="50.1" customHeight="1" x14ac:dyDescent="0.25">
      <c r="A499" t="str">
        <f t="shared" si="7"/>
        <v xml:space="preserve"> </v>
      </c>
      <c r="B499" s="224"/>
      <c r="C499" s="227"/>
      <c r="D499" s="218"/>
    </row>
    <row r="500" spans="1:4" ht="50.1" customHeight="1" thickBot="1" x14ac:dyDescent="0.3">
      <c r="A500" t="str">
        <f t="shared" si="7"/>
        <v xml:space="preserve"> </v>
      </c>
      <c r="B500" s="225"/>
      <c r="C500" s="228"/>
      <c r="D500" s="219" t="s">
        <v>1562</v>
      </c>
    </row>
    <row r="501" spans="1:4" ht="50.1" customHeight="1" x14ac:dyDescent="0.25">
      <c r="A501" t="str">
        <f t="shared" si="7"/>
        <v>33.17.00 Reparation og vedligeholdelse af andre civile transportmidler</v>
      </c>
      <c r="B501" s="223" t="s">
        <v>1563</v>
      </c>
      <c r="C501" s="226" t="s">
        <v>1564</v>
      </c>
      <c r="D501" s="217" t="s">
        <v>1565</v>
      </c>
    </row>
    <row r="502" spans="1:4" ht="50.1" customHeight="1" x14ac:dyDescent="0.25">
      <c r="A502" t="str">
        <f t="shared" si="7"/>
        <v xml:space="preserve"> </v>
      </c>
      <c r="B502" s="224"/>
      <c r="C502" s="227"/>
      <c r="D502" s="218"/>
    </row>
    <row r="503" spans="1:4" ht="50.1" customHeight="1" thickBot="1" x14ac:dyDescent="0.3">
      <c r="A503" t="str">
        <f t="shared" si="7"/>
        <v xml:space="preserve"> </v>
      </c>
      <c r="B503" s="225"/>
      <c r="C503" s="228"/>
      <c r="D503" s="219" t="s">
        <v>1566</v>
      </c>
    </row>
    <row r="504" spans="1:4" ht="50.1" customHeight="1" thickBot="1" x14ac:dyDescent="0.3">
      <c r="A504" t="str">
        <f t="shared" si="7"/>
        <v>33.18.00 Reparation og vedligeholdelse af militære kampkøretøjer, skibe, både og luft- og rumfartøjer</v>
      </c>
      <c r="B504" s="215" t="s">
        <v>1567</v>
      </c>
      <c r="C504" s="216" t="s">
        <v>1568</v>
      </c>
      <c r="D504" s="216" t="s">
        <v>1569</v>
      </c>
    </row>
    <row r="505" spans="1:4" ht="50.1" customHeight="1" thickBot="1" x14ac:dyDescent="0.3">
      <c r="A505" t="str">
        <f t="shared" si="7"/>
        <v>33.19.00 Reparation og vedligeholdelse af andet udstyr</v>
      </c>
      <c r="B505" s="215" t="s">
        <v>1570</v>
      </c>
      <c r="C505" s="216" t="s">
        <v>1571</v>
      </c>
      <c r="D505" s="216" t="s">
        <v>1572</v>
      </c>
    </row>
    <row r="506" spans="1:4" ht="50.1" customHeight="1" thickBot="1" x14ac:dyDescent="0.3">
      <c r="A506" t="str">
        <f t="shared" si="7"/>
        <v>33.20.00 Installation af industrimaskiner og -udstyr</v>
      </c>
      <c r="B506" s="215" t="s">
        <v>1573</v>
      </c>
      <c r="C506" s="216" t="s">
        <v>1574</v>
      </c>
      <c r="D506" s="216" t="s">
        <v>1575</v>
      </c>
    </row>
    <row r="507" spans="1:4" ht="50.1" customHeight="1" thickBot="1" x14ac:dyDescent="0.3">
      <c r="A507" t="str">
        <f t="shared" si="7"/>
        <v>35.11.00 Produktion af elektricitet fra ikke-vedvarende energikilder</v>
      </c>
      <c r="B507" s="215" t="s">
        <v>1576</v>
      </c>
      <c r="C507" s="216" t="s">
        <v>1577</v>
      </c>
      <c r="D507" s="216" t="s">
        <v>1578</v>
      </c>
    </row>
    <row r="508" spans="1:4" ht="50.1" customHeight="1" thickBot="1" x14ac:dyDescent="0.3">
      <c r="A508" t="str">
        <f t="shared" si="7"/>
        <v>35.12.00 Produktion af elektricitet fra vedvarende energikilder</v>
      </c>
      <c r="B508" s="215" t="s">
        <v>1579</v>
      </c>
      <c r="C508" s="216" t="s">
        <v>1580</v>
      </c>
      <c r="D508" s="216" t="s">
        <v>1581</v>
      </c>
    </row>
    <row r="509" spans="1:4" ht="50.1" customHeight="1" thickBot="1" x14ac:dyDescent="0.3">
      <c r="A509" t="str">
        <f t="shared" si="7"/>
        <v>35.13.00 Transmission af elektricitet</v>
      </c>
      <c r="B509" s="215" t="s">
        <v>1582</v>
      </c>
      <c r="C509" s="216" t="s">
        <v>1583</v>
      </c>
      <c r="D509" s="216" t="s">
        <v>1584</v>
      </c>
    </row>
    <row r="510" spans="1:4" ht="50.1" customHeight="1" thickBot="1" x14ac:dyDescent="0.3">
      <c r="A510" t="str">
        <f t="shared" si="7"/>
        <v>35.14.00 Distribution af elektricitet</v>
      </c>
      <c r="B510" s="215" t="s">
        <v>1585</v>
      </c>
      <c r="C510" s="216" t="s">
        <v>1586</v>
      </c>
      <c r="D510" s="216" t="s">
        <v>1587</v>
      </c>
    </row>
    <row r="511" spans="1:4" ht="50.1" customHeight="1" thickBot="1" x14ac:dyDescent="0.3">
      <c r="A511" t="str">
        <f t="shared" si="7"/>
        <v>35.15.10 Handel med elektricitet via ladestationer o. lign.</v>
      </c>
      <c r="B511" s="215" t="s">
        <v>1588</v>
      </c>
      <c r="C511" s="216" t="s">
        <v>1589</v>
      </c>
      <c r="D511" s="216" t="s">
        <v>1590</v>
      </c>
    </row>
    <row r="512" spans="1:4" ht="50.1" customHeight="1" thickBot="1" x14ac:dyDescent="0.3">
      <c r="A512" t="str">
        <f t="shared" si="7"/>
        <v>35.15.90 Anden handel med elektricitet</v>
      </c>
      <c r="B512" s="215" t="s">
        <v>1591</v>
      </c>
      <c r="C512" s="216" t="s">
        <v>1592</v>
      </c>
      <c r="D512" s="216" t="s">
        <v>1593</v>
      </c>
    </row>
    <row r="513" spans="1:4" ht="50.1" customHeight="1" thickBot="1" x14ac:dyDescent="0.3">
      <c r="A513" t="str">
        <f t="shared" si="7"/>
        <v>35.16.00 Lagring af elektricitet</v>
      </c>
      <c r="B513" s="215" t="s">
        <v>1594</v>
      </c>
      <c r="C513" s="216" t="s">
        <v>1595</v>
      </c>
      <c r="D513" s="216" t="s">
        <v>1596</v>
      </c>
    </row>
    <row r="514" spans="1:4" ht="50.1" customHeight="1" thickBot="1" x14ac:dyDescent="0.3">
      <c r="A514" t="str">
        <f t="shared" si="7"/>
        <v>35.21.00 Produktion af gas</v>
      </c>
      <c r="B514" s="215" t="s">
        <v>1597</v>
      </c>
      <c r="C514" s="216" t="s">
        <v>1598</v>
      </c>
      <c r="D514" s="216" t="s">
        <v>1599</v>
      </c>
    </row>
    <row r="515" spans="1:4" ht="50.1" customHeight="1" x14ac:dyDescent="0.25">
      <c r="A515" t="str">
        <f t="shared" ref="A515:A578" si="8">B515 &amp; " " &amp; C515</f>
        <v>35.22.00 Distribution af gas</v>
      </c>
      <c r="B515" s="223" t="s">
        <v>1600</v>
      </c>
      <c r="C515" s="226" t="s">
        <v>1601</v>
      </c>
      <c r="D515" s="217" t="s">
        <v>1602</v>
      </c>
    </row>
    <row r="516" spans="1:4" ht="50.1" customHeight="1" x14ac:dyDescent="0.25">
      <c r="A516" t="str">
        <f t="shared" si="8"/>
        <v xml:space="preserve"> </v>
      </c>
      <c r="B516" s="224"/>
      <c r="C516" s="227"/>
      <c r="D516" s="218"/>
    </row>
    <row r="517" spans="1:4" ht="50.1" customHeight="1" thickBot="1" x14ac:dyDescent="0.3">
      <c r="A517" t="str">
        <f t="shared" si="8"/>
        <v xml:space="preserve"> </v>
      </c>
      <c r="B517" s="225"/>
      <c r="C517" s="228"/>
      <c r="D517" s="219" t="s">
        <v>1603</v>
      </c>
    </row>
    <row r="518" spans="1:4" ht="50.1" customHeight="1" x14ac:dyDescent="0.25">
      <c r="A518" t="str">
        <f t="shared" si="8"/>
        <v>35.23.00 Handel med gas gennem rørledninger</v>
      </c>
      <c r="B518" s="223" t="s">
        <v>1604</v>
      </c>
      <c r="C518" s="226" t="s">
        <v>1605</v>
      </c>
      <c r="D518" s="217" t="s">
        <v>1606</v>
      </c>
    </row>
    <row r="519" spans="1:4" ht="50.1" customHeight="1" x14ac:dyDescent="0.25">
      <c r="A519" t="str">
        <f t="shared" si="8"/>
        <v xml:space="preserve"> </v>
      </c>
      <c r="B519" s="224"/>
      <c r="C519" s="227"/>
      <c r="D519" s="218"/>
    </row>
    <row r="520" spans="1:4" ht="50.1" customHeight="1" thickBot="1" x14ac:dyDescent="0.3">
      <c r="A520" t="str">
        <f t="shared" si="8"/>
        <v xml:space="preserve"> </v>
      </c>
      <c r="B520" s="225"/>
      <c r="C520" s="228"/>
      <c r="D520" s="219" t="s">
        <v>1607</v>
      </c>
    </row>
    <row r="521" spans="1:4" ht="50.1" customHeight="1" thickBot="1" x14ac:dyDescent="0.3">
      <c r="A521" t="str">
        <f t="shared" si="8"/>
        <v>35.24.00 Oplagring af gas i forbindelse med drift af forsyningsnet</v>
      </c>
      <c r="B521" s="215" t="s">
        <v>1608</v>
      </c>
      <c r="C521" s="216" t="s">
        <v>1609</v>
      </c>
      <c r="D521" s="216" t="s">
        <v>1610</v>
      </c>
    </row>
    <row r="522" spans="1:4" ht="50.1" customHeight="1" thickBot="1" x14ac:dyDescent="0.3">
      <c r="A522" t="str">
        <f t="shared" si="8"/>
        <v>35.30.00 Fjernvarmeforsyning</v>
      </c>
      <c r="B522" s="215" t="s">
        <v>1611</v>
      </c>
      <c r="C522" s="216" t="s">
        <v>1612</v>
      </c>
      <c r="D522" s="216" t="s">
        <v>1613</v>
      </c>
    </row>
    <row r="523" spans="1:4" ht="50.1" customHeight="1" thickBot="1" x14ac:dyDescent="0.3">
      <c r="A523" t="str">
        <f t="shared" si="8"/>
        <v>35.40.00 Mægler- og agentaktiviteter i forbindelse med forsyning af elektricitet og naturgas</v>
      </c>
      <c r="B523" s="215" t="s">
        <v>1614</v>
      </c>
      <c r="C523" s="216" t="s">
        <v>1615</v>
      </c>
      <c r="D523" s="216" t="s">
        <v>1616</v>
      </c>
    </row>
    <row r="524" spans="1:4" ht="50.1" customHeight="1" x14ac:dyDescent="0.25">
      <c r="A524" t="str">
        <f t="shared" si="8"/>
        <v>36.00.00 Vandforsyning</v>
      </c>
      <c r="B524" s="223" t="s">
        <v>1617</v>
      </c>
      <c r="C524" s="226" t="s">
        <v>1618</v>
      </c>
      <c r="D524" s="217" t="s">
        <v>1619</v>
      </c>
    </row>
    <row r="525" spans="1:4" ht="50.1" customHeight="1" x14ac:dyDescent="0.25">
      <c r="A525" t="str">
        <f t="shared" si="8"/>
        <v xml:space="preserve"> </v>
      </c>
      <c r="B525" s="224"/>
      <c r="C525" s="227"/>
      <c r="D525" s="218"/>
    </row>
    <row r="526" spans="1:4" ht="50.1" customHeight="1" thickBot="1" x14ac:dyDescent="0.3">
      <c r="A526" t="str">
        <f t="shared" si="8"/>
        <v xml:space="preserve"> </v>
      </c>
      <c r="B526" s="225"/>
      <c r="C526" s="228"/>
      <c r="D526" s="219" t="s">
        <v>1620</v>
      </c>
    </row>
    <row r="527" spans="1:4" ht="50.1" customHeight="1" x14ac:dyDescent="0.25">
      <c r="A527" t="str">
        <f t="shared" si="8"/>
        <v>37.00.00 Opsamling og behandling af spildevand</v>
      </c>
      <c r="B527" s="223" t="s">
        <v>1621</v>
      </c>
      <c r="C527" s="226" t="s">
        <v>1622</v>
      </c>
      <c r="D527" s="217" t="s">
        <v>1623</v>
      </c>
    </row>
    <row r="528" spans="1:4" ht="50.1" customHeight="1" x14ac:dyDescent="0.25">
      <c r="A528" t="str">
        <f t="shared" si="8"/>
        <v xml:space="preserve"> </v>
      </c>
      <c r="B528" s="224"/>
      <c r="C528" s="227"/>
      <c r="D528" s="218"/>
    </row>
    <row r="529" spans="1:4" ht="50.1" customHeight="1" thickBot="1" x14ac:dyDescent="0.3">
      <c r="A529" t="str">
        <f t="shared" si="8"/>
        <v xml:space="preserve"> </v>
      </c>
      <c r="B529" s="225"/>
      <c r="C529" s="228"/>
      <c r="D529" s="219" t="s">
        <v>1624</v>
      </c>
    </row>
    <row r="530" spans="1:4" ht="50.1" customHeight="1" x14ac:dyDescent="0.25">
      <c r="A530" t="str">
        <f t="shared" si="8"/>
        <v>38.11.00 Indsamling af ikke-farligt affald</v>
      </c>
      <c r="B530" s="223" t="s">
        <v>1625</v>
      </c>
      <c r="C530" s="226" t="s">
        <v>1626</v>
      </c>
      <c r="D530" s="217" t="s">
        <v>1627</v>
      </c>
    </row>
    <row r="531" spans="1:4" ht="50.1" customHeight="1" x14ac:dyDescent="0.25">
      <c r="A531" t="str">
        <f t="shared" si="8"/>
        <v xml:space="preserve"> </v>
      </c>
      <c r="B531" s="224"/>
      <c r="C531" s="227"/>
      <c r="D531" s="218"/>
    </row>
    <row r="532" spans="1:4" ht="50.1" customHeight="1" thickBot="1" x14ac:dyDescent="0.3">
      <c r="A532" t="str">
        <f t="shared" si="8"/>
        <v xml:space="preserve"> </v>
      </c>
      <c r="B532" s="225"/>
      <c r="C532" s="228"/>
      <c r="D532" s="219" t="s">
        <v>1628</v>
      </c>
    </row>
    <row r="533" spans="1:4" ht="50.1" customHeight="1" thickBot="1" x14ac:dyDescent="0.3">
      <c r="A533" t="str">
        <f t="shared" si="8"/>
        <v>38.12.00 Indsamling af farligt affald</v>
      </c>
      <c r="B533" s="215" t="s">
        <v>1629</v>
      </c>
      <c r="C533" s="216" t="s">
        <v>1630</v>
      </c>
      <c r="D533" s="216" t="s">
        <v>1631</v>
      </c>
    </row>
    <row r="534" spans="1:4" ht="50.1" customHeight="1" x14ac:dyDescent="0.25">
      <c r="A534" t="str">
        <f t="shared" si="8"/>
        <v>38.21.00 Genindvinding af materialer</v>
      </c>
      <c r="B534" s="223" t="s">
        <v>1632</v>
      </c>
      <c r="C534" s="226" t="s">
        <v>1633</v>
      </c>
      <c r="D534" s="217" t="s">
        <v>1634</v>
      </c>
    </row>
    <row r="535" spans="1:4" ht="50.1" customHeight="1" x14ac:dyDescent="0.25">
      <c r="A535" t="str">
        <f t="shared" si="8"/>
        <v xml:space="preserve"> </v>
      </c>
      <c r="B535" s="224"/>
      <c r="C535" s="227"/>
      <c r="D535" s="218"/>
    </row>
    <row r="536" spans="1:4" ht="50.1" customHeight="1" thickBot="1" x14ac:dyDescent="0.3">
      <c r="A536" t="str">
        <f t="shared" si="8"/>
        <v xml:space="preserve"> </v>
      </c>
      <c r="B536" s="225"/>
      <c r="C536" s="228"/>
      <c r="D536" s="219" t="s">
        <v>1635</v>
      </c>
    </row>
    <row r="537" spans="1:4" ht="50.1" customHeight="1" thickBot="1" x14ac:dyDescent="0.3">
      <c r="A537" t="str">
        <f t="shared" si="8"/>
        <v>38.22.00 Energiudnyttelse af affald</v>
      </c>
      <c r="B537" s="215" t="s">
        <v>1636</v>
      </c>
      <c r="C537" s="216" t="s">
        <v>1637</v>
      </c>
      <c r="D537" s="216" t="s">
        <v>1638</v>
      </c>
    </row>
    <row r="538" spans="1:4" ht="50.1" customHeight="1" thickBot="1" x14ac:dyDescent="0.3">
      <c r="A538" t="str">
        <f t="shared" si="8"/>
        <v>38.23.00 Anden nyttiggørelse af affald</v>
      </c>
      <c r="B538" s="215" t="s">
        <v>1639</v>
      </c>
      <c r="C538" s="216" t="s">
        <v>1640</v>
      </c>
      <c r="D538" s="216" t="s">
        <v>1641</v>
      </c>
    </row>
    <row r="539" spans="1:4" ht="50.1" customHeight="1" x14ac:dyDescent="0.25">
      <c r="A539" t="str">
        <f t="shared" si="8"/>
        <v>38.31.00 Forbrænding uden energiudnyttelse</v>
      </c>
      <c r="B539" s="223" t="s">
        <v>1642</v>
      </c>
      <c r="C539" s="226" t="s">
        <v>1643</v>
      </c>
      <c r="D539" s="217" t="s">
        <v>1644</v>
      </c>
    </row>
    <row r="540" spans="1:4" ht="50.1" customHeight="1" x14ac:dyDescent="0.25">
      <c r="A540" t="str">
        <f t="shared" si="8"/>
        <v xml:space="preserve"> </v>
      </c>
      <c r="B540" s="224"/>
      <c r="C540" s="227"/>
      <c r="D540" s="218"/>
    </row>
    <row r="541" spans="1:4" ht="50.1" customHeight="1" thickBot="1" x14ac:dyDescent="0.3">
      <c r="A541" t="str">
        <f t="shared" si="8"/>
        <v xml:space="preserve"> </v>
      </c>
      <c r="B541" s="225"/>
      <c r="C541" s="228"/>
      <c r="D541" s="219" t="s">
        <v>1645</v>
      </c>
    </row>
    <row r="542" spans="1:4" ht="50.1" customHeight="1" x14ac:dyDescent="0.25">
      <c r="A542" t="str">
        <f t="shared" si="8"/>
        <v>38.32.00 Deponering eller permanent oplagring</v>
      </c>
      <c r="B542" s="223" t="s">
        <v>1646</v>
      </c>
      <c r="C542" s="226" t="s">
        <v>1647</v>
      </c>
      <c r="D542" s="217" t="s">
        <v>1648</v>
      </c>
    </row>
    <row r="543" spans="1:4" ht="50.1" customHeight="1" x14ac:dyDescent="0.25">
      <c r="A543" t="str">
        <f t="shared" si="8"/>
        <v xml:space="preserve"> </v>
      </c>
      <c r="B543" s="224"/>
      <c r="C543" s="227"/>
      <c r="D543" s="218"/>
    </row>
    <row r="544" spans="1:4" ht="50.1" customHeight="1" thickBot="1" x14ac:dyDescent="0.3">
      <c r="A544" t="str">
        <f t="shared" si="8"/>
        <v xml:space="preserve"> </v>
      </c>
      <c r="B544" s="225"/>
      <c r="C544" s="228"/>
      <c r="D544" s="219" t="s">
        <v>1649</v>
      </c>
    </row>
    <row r="545" spans="1:4" ht="50.1" customHeight="1" thickBot="1" x14ac:dyDescent="0.3">
      <c r="A545" t="str">
        <f t="shared" si="8"/>
        <v>38.33.00 Anden bortskaffelse af affald</v>
      </c>
      <c r="B545" s="215" t="s">
        <v>1650</v>
      </c>
      <c r="C545" s="216" t="s">
        <v>1651</v>
      </c>
      <c r="D545" s="216" t="s">
        <v>1652</v>
      </c>
    </row>
    <row r="546" spans="1:4" ht="50.1" customHeight="1" x14ac:dyDescent="0.25">
      <c r="A546" t="str">
        <f t="shared" si="8"/>
        <v>39.00.00 Rensning af jord og grundvand og anden dekontaminering</v>
      </c>
      <c r="B546" s="223" t="s">
        <v>1653</v>
      </c>
      <c r="C546" s="226" t="s">
        <v>1654</v>
      </c>
      <c r="D546" s="217" t="s">
        <v>1655</v>
      </c>
    </row>
    <row r="547" spans="1:4" ht="50.1" customHeight="1" x14ac:dyDescent="0.25">
      <c r="A547" t="str">
        <f t="shared" si="8"/>
        <v xml:space="preserve"> </v>
      </c>
      <c r="B547" s="224"/>
      <c r="C547" s="227"/>
      <c r="D547" s="218"/>
    </row>
    <row r="548" spans="1:4" ht="50.1" customHeight="1" thickBot="1" x14ac:dyDescent="0.3">
      <c r="A548" t="str">
        <f t="shared" si="8"/>
        <v xml:space="preserve"> </v>
      </c>
      <c r="B548" s="225"/>
      <c r="C548" s="228"/>
      <c r="D548" s="219" t="s">
        <v>1656</v>
      </c>
    </row>
    <row r="549" spans="1:4" ht="50.1" customHeight="1" x14ac:dyDescent="0.25">
      <c r="A549" t="str">
        <f t="shared" si="8"/>
        <v>41.00.00 Opførelse af bygninger</v>
      </c>
      <c r="B549" s="223" t="s">
        <v>1657</v>
      </c>
      <c r="C549" s="226" t="s">
        <v>1658</v>
      </c>
      <c r="D549" s="217" t="s">
        <v>1659</v>
      </c>
    </row>
    <row r="550" spans="1:4" ht="50.1" customHeight="1" x14ac:dyDescent="0.25">
      <c r="A550" t="str">
        <f t="shared" si="8"/>
        <v xml:space="preserve"> </v>
      </c>
      <c r="B550" s="224"/>
      <c r="C550" s="227"/>
      <c r="D550" s="218"/>
    </row>
    <row r="551" spans="1:4" ht="50.1" customHeight="1" thickBot="1" x14ac:dyDescent="0.3">
      <c r="A551" t="str">
        <f t="shared" si="8"/>
        <v xml:space="preserve"> </v>
      </c>
      <c r="B551" s="225"/>
      <c r="C551" s="228"/>
      <c r="D551" s="219" t="s">
        <v>1660</v>
      </c>
    </row>
    <row r="552" spans="1:4" ht="50.1" customHeight="1" thickBot="1" x14ac:dyDescent="0.3">
      <c r="A552" t="str">
        <f t="shared" si="8"/>
        <v>42.11.00 Anlæg af veje og motorveje</v>
      </c>
      <c r="B552" s="215" t="s">
        <v>1661</v>
      </c>
      <c r="C552" s="216" t="s">
        <v>1662</v>
      </c>
      <c r="D552" s="216" t="s">
        <v>1663</v>
      </c>
    </row>
    <row r="553" spans="1:4" ht="50.1" customHeight="1" thickBot="1" x14ac:dyDescent="0.3">
      <c r="A553" t="str">
        <f t="shared" si="8"/>
        <v>42.12.00 Anlæg af jernbaner og undergrundsbaner</v>
      </c>
      <c r="B553" s="215" t="s">
        <v>1664</v>
      </c>
      <c r="C553" s="216" t="s">
        <v>1665</v>
      </c>
      <c r="D553" s="216" t="s">
        <v>1666</v>
      </c>
    </row>
    <row r="554" spans="1:4" ht="50.1" customHeight="1" thickBot="1" x14ac:dyDescent="0.3">
      <c r="A554" t="str">
        <f t="shared" si="8"/>
        <v>42.13.00 Anlæg af broer og tunneller</v>
      </c>
      <c r="B554" s="215" t="s">
        <v>1667</v>
      </c>
      <c r="C554" s="216" t="s">
        <v>1668</v>
      </c>
      <c r="D554" s="216" t="s">
        <v>1669</v>
      </c>
    </row>
    <row r="555" spans="1:4" ht="50.1" customHeight="1" x14ac:dyDescent="0.25">
      <c r="A555" t="str">
        <f t="shared" si="8"/>
        <v>42.21.00 Anlæg af ledningsnet til væsker</v>
      </c>
      <c r="B555" s="223" t="s">
        <v>1670</v>
      </c>
      <c r="C555" s="226" t="s">
        <v>1671</v>
      </c>
      <c r="D555" s="217" t="s">
        <v>1672</v>
      </c>
    </row>
    <row r="556" spans="1:4" ht="50.1" customHeight="1" x14ac:dyDescent="0.25">
      <c r="A556" t="str">
        <f t="shared" si="8"/>
        <v xml:space="preserve"> </v>
      </c>
      <c r="B556" s="224"/>
      <c r="C556" s="227"/>
      <c r="D556" s="218"/>
    </row>
    <row r="557" spans="1:4" ht="50.1" customHeight="1" thickBot="1" x14ac:dyDescent="0.3">
      <c r="A557" t="str">
        <f t="shared" si="8"/>
        <v xml:space="preserve"> </v>
      </c>
      <c r="B557" s="225"/>
      <c r="C557" s="228"/>
      <c r="D557" s="219" t="s">
        <v>1673</v>
      </c>
    </row>
    <row r="558" spans="1:4" ht="50.1" customHeight="1" x14ac:dyDescent="0.25">
      <c r="A558" t="str">
        <f t="shared" si="8"/>
        <v>42.22.00 Anlæg af ledningsnet til elektricitet og telekommunikation</v>
      </c>
      <c r="B558" s="223" t="s">
        <v>1674</v>
      </c>
      <c r="C558" s="226" t="s">
        <v>1675</v>
      </c>
      <c r="D558" s="217" t="s">
        <v>1676</v>
      </c>
    </row>
    <row r="559" spans="1:4" ht="50.1" customHeight="1" x14ac:dyDescent="0.25">
      <c r="A559" t="str">
        <f t="shared" si="8"/>
        <v xml:space="preserve"> </v>
      </c>
      <c r="B559" s="224"/>
      <c r="C559" s="227"/>
      <c r="D559" s="218"/>
    </row>
    <row r="560" spans="1:4" ht="50.1" customHeight="1" thickBot="1" x14ac:dyDescent="0.3">
      <c r="A560" t="str">
        <f t="shared" si="8"/>
        <v xml:space="preserve"> </v>
      </c>
      <c r="B560" s="225"/>
      <c r="C560" s="228"/>
      <c r="D560" s="219" t="s">
        <v>1677</v>
      </c>
    </row>
    <row r="561" spans="1:4" ht="50.1" customHeight="1" thickBot="1" x14ac:dyDescent="0.3">
      <c r="A561" t="str">
        <f t="shared" si="8"/>
        <v>42.91.00 Anlæg af vandveje, havne, diger, dæmninger mv.</v>
      </c>
      <c r="B561" s="215" t="s">
        <v>1678</v>
      </c>
      <c r="C561" s="216" t="s">
        <v>1679</v>
      </c>
      <c r="D561" s="216" t="s">
        <v>1680</v>
      </c>
    </row>
    <row r="562" spans="1:4" ht="50.1" customHeight="1" x14ac:dyDescent="0.25">
      <c r="A562" t="str">
        <f t="shared" si="8"/>
        <v>42.99.00 Andre anlægsaktiviteter i.a.n.</v>
      </c>
      <c r="B562" s="223" t="s">
        <v>1681</v>
      </c>
      <c r="C562" s="226" t="s">
        <v>1682</v>
      </c>
      <c r="D562" s="217" t="s">
        <v>1683</v>
      </c>
    </row>
    <row r="563" spans="1:4" ht="50.1" customHeight="1" x14ac:dyDescent="0.25">
      <c r="A563" t="str">
        <f t="shared" si="8"/>
        <v xml:space="preserve"> </v>
      </c>
      <c r="B563" s="224"/>
      <c r="C563" s="227"/>
      <c r="D563" s="218"/>
    </row>
    <row r="564" spans="1:4" ht="50.1" customHeight="1" thickBot="1" x14ac:dyDescent="0.3">
      <c r="A564" t="str">
        <f t="shared" si="8"/>
        <v xml:space="preserve"> </v>
      </c>
      <c r="B564" s="225"/>
      <c r="C564" s="228"/>
      <c r="D564" s="219" t="s">
        <v>1684</v>
      </c>
    </row>
    <row r="565" spans="1:4" ht="50.1" customHeight="1" thickBot="1" x14ac:dyDescent="0.3">
      <c r="A565" t="str">
        <f t="shared" si="8"/>
        <v>43.11.00 Nedrivning</v>
      </c>
      <c r="B565" s="215" t="s">
        <v>1685</v>
      </c>
      <c r="C565" s="216" t="s">
        <v>1686</v>
      </c>
      <c r="D565" s="216" t="s">
        <v>1687</v>
      </c>
    </row>
    <row r="566" spans="1:4" ht="50.1" customHeight="1" thickBot="1" x14ac:dyDescent="0.3">
      <c r="A566" t="str">
        <f t="shared" si="8"/>
        <v>43.12.00 Forberedende byggepladsarbejder</v>
      </c>
      <c r="B566" s="215" t="s">
        <v>1688</v>
      </c>
      <c r="C566" s="216" t="s">
        <v>1689</v>
      </c>
      <c r="D566" s="216" t="s">
        <v>1690</v>
      </c>
    </row>
    <row r="567" spans="1:4" ht="50.1" customHeight="1" thickBot="1" x14ac:dyDescent="0.3">
      <c r="A567" t="str">
        <f t="shared" si="8"/>
        <v>43.13.00 Funderingsundersøgelser</v>
      </c>
      <c r="B567" s="215" t="s">
        <v>1691</v>
      </c>
      <c r="C567" s="216" t="s">
        <v>1692</v>
      </c>
      <c r="D567" s="216" t="s">
        <v>1693</v>
      </c>
    </row>
    <row r="568" spans="1:4" ht="50.1" customHeight="1" x14ac:dyDescent="0.25">
      <c r="A568" t="str">
        <f t="shared" si="8"/>
        <v>43.21.00 El-installation</v>
      </c>
      <c r="B568" s="223" t="s">
        <v>1694</v>
      </c>
      <c r="C568" s="226" t="s">
        <v>1695</v>
      </c>
      <c r="D568" s="217" t="s">
        <v>1696</v>
      </c>
    </row>
    <row r="569" spans="1:4" ht="50.1" customHeight="1" x14ac:dyDescent="0.25">
      <c r="A569" t="str">
        <f t="shared" si="8"/>
        <v xml:space="preserve"> </v>
      </c>
      <c r="B569" s="224"/>
      <c r="C569" s="227"/>
      <c r="D569" s="218"/>
    </row>
    <row r="570" spans="1:4" ht="50.1" customHeight="1" thickBot="1" x14ac:dyDescent="0.3">
      <c r="A570" t="str">
        <f t="shared" si="8"/>
        <v xml:space="preserve"> </v>
      </c>
      <c r="B570" s="225"/>
      <c r="C570" s="228"/>
      <c r="D570" s="219" t="s">
        <v>1697</v>
      </c>
    </row>
    <row r="571" spans="1:4" ht="50.1" customHeight="1" x14ac:dyDescent="0.25">
      <c r="A571" t="str">
        <f t="shared" si="8"/>
        <v>43.22.00 Installation af vvs-, varme- og klimaanlæg</v>
      </c>
      <c r="B571" s="223" t="s">
        <v>1698</v>
      </c>
      <c r="C571" s="226" t="s">
        <v>1699</v>
      </c>
      <c r="D571" s="217" t="s">
        <v>1700</v>
      </c>
    </row>
    <row r="572" spans="1:4" ht="50.1" customHeight="1" x14ac:dyDescent="0.25">
      <c r="A572" t="str">
        <f t="shared" si="8"/>
        <v xml:space="preserve"> </v>
      </c>
      <c r="B572" s="224"/>
      <c r="C572" s="227"/>
      <c r="D572" s="218"/>
    </row>
    <row r="573" spans="1:4" ht="50.1" customHeight="1" thickBot="1" x14ac:dyDescent="0.3">
      <c r="A573" t="str">
        <f t="shared" si="8"/>
        <v xml:space="preserve"> </v>
      </c>
      <c r="B573" s="225"/>
      <c r="C573" s="228"/>
      <c r="D573" s="219" t="s">
        <v>1701</v>
      </c>
    </row>
    <row r="574" spans="1:4" ht="50.1" customHeight="1" x14ac:dyDescent="0.25">
      <c r="A574" t="str">
        <f t="shared" si="8"/>
        <v>43.23.00 Installation af isolering</v>
      </c>
      <c r="B574" s="223" t="s">
        <v>1702</v>
      </c>
      <c r="C574" s="226" t="s">
        <v>1703</v>
      </c>
      <c r="D574" s="217" t="s">
        <v>1704</v>
      </c>
    </row>
    <row r="575" spans="1:4" ht="50.1" customHeight="1" x14ac:dyDescent="0.25">
      <c r="A575" t="str">
        <f t="shared" si="8"/>
        <v xml:space="preserve"> </v>
      </c>
      <c r="B575" s="224"/>
      <c r="C575" s="227"/>
      <c r="D575" s="218"/>
    </row>
    <row r="576" spans="1:4" ht="50.1" customHeight="1" thickBot="1" x14ac:dyDescent="0.3">
      <c r="A576" t="str">
        <f t="shared" si="8"/>
        <v xml:space="preserve"> </v>
      </c>
      <c r="B576" s="225"/>
      <c r="C576" s="228"/>
      <c r="D576" s="219" t="s">
        <v>1705</v>
      </c>
    </row>
    <row r="577" spans="1:4" ht="50.1" customHeight="1" x14ac:dyDescent="0.25">
      <c r="A577" t="str">
        <f t="shared" si="8"/>
        <v>43.24.00 Andre bygningsinstallationsaktiviteter</v>
      </c>
      <c r="B577" s="223" t="s">
        <v>1706</v>
      </c>
      <c r="C577" s="226" t="s">
        <v>1707</v>
      </c>
      <c r="D577" s="217" t="s">
        <v>1708</v>
      </c>
    </row>
    <row r="578" spans="1:4" ht="50.1" customHeight="1" x14ac:dyDescent="0.25">
      <c r="A578" t="str">
        <f t="shared" si="8"/>
        <v xml:space="preserve"> </v>
      </c>
      <c r="B578" s="224"/>
      <c r="C578" s="227"/>
      <c r="D578" s="218"/>
    </row>
    <row r="579" spans="1:4" ht="50.1" customHeight="1" thickBot="1" x14ac:dyDescent="0.3">
      <c r="A579" t="str">
        <f t="shared" ref="A579:A642" si="9">B579 &amp; " " &amp; C579</f>
        <v xml:space="preserve"> </v>
      </c>
      <c r="B579" s="225"/>
      <c r="C579" s="228"/>
      <c r="D579" s="219" t="s">
        <v>1709</v>
      </c>
    </row>
    <row r="580" spans="1:4" ht="50.1" customHeight="1" thickBot="1" x14ac:dyDescent="0.3">
      <c r="A580" t="str">
        <f t="shared" si="9"/>
        <v>43.31.00 Stukkatøraktiviteter</v>
      </c>
      <c r="B580" s="215" t="s">
        <v>1710</v>
      </c>
      <c r="C580" s="216" t="s">
        <v>1711</v>
      </c>
      <c r="D580" s="216" t="s">
        <v>1712</v>
      </c>
    </row>
    <row r="581" spans="1:4" ht="50.1" customHeight="1" x14ac:dyDescent="0.25">
      <c r="A581" t="str">
        <f t="shared" si="9"/>
        <v>43.32.00 Tømrer- og bygningssnedkeraktiviteter</v>
      </c>
      <c r="B581" s="223" t="s">
        <v>1713</v>
      </c>
      <c r="C581" s="226" t="s">
        <v>1714</v>
      </c>
      <c r="D581" s="217" t="s">
        <v>1715</v>
      </c>
    </row>
    <row r="582" spans="1:4" ht="50.1" customHeight="1" x14ac:dyDescent="0.25">
      <c r="A582" t="str">
        <f t="shared" si="9"/>
        <v xml:space="preserve"> </v>
      </c>
      <c r="B582" s="224"/>
      <c r="C582" s="227"/>
      <c r="D582" s="218"/>
    </row>
    <row r="583" spans="1:4" ht="50.1" customHeight="1" thickBot="1" x14ac:dyDescent="0.3">
      <c r="A583" t="str">
        <f t="shared" si="9"/>
        <v xml:space="preserve"> </v>
      </c>
      <c r="B583" s="225"/>
      <c r="C583" s="228"/>
      <c r="D583" s="219" t="s">
        <v>1716</v>
      </c>
    </row>
    <row r="584" spans="1:4" ht="50.1" customHeight="1" x14ac:dyDescent="0.25">
      <c r="A584" t="str">
        <f t="shared" si="9"/>
        <v>43.33.00 Udførelse af gulvbelægninger og vægbeklædning</v>
      </c>
      <c r="B584" s="223" t="s">
        <v>1717</v>
      </c>
      <c r="C584" s="226" t="s">
        <v>1718</v>
      </c>
      <c r="D584" s="217" t="s">
        <v>1719</v>
      </c>
    </row>
    <row r="585" spans="1:4" ht="50.1" customHeight="1" x14ac:dyDescent="0.25">
      <c r="A585" t="str">
        <f t="shared" si="9"/>
        <v xml:space="preserve"> </v>
      </c>
      <c r="B585" s="224"/>
      <c r="C585" s="227"/>
      <c r="D585" s="218"/>
    </row>
    <row r="586" spans="1:4" ht="50.1" customHeight="1" thickBot="1" x14ac:dyDescent="0.3">
      <c r="A586" t="str">
        <f t="shared" si="9"/>
        <v xml:space="preserve"> </v>
      </c>
      <c r="B586" s="225"/>
      <c r="C586" s="228"/>
      <c r="D586" s="219" t="s">
        <v>1720</v>
      </c>
    </row>
    <row r="587" spans="1:4" ht="50.1" customHeight="1" thickBot="1" x14ac:dyDescent="0.3">
      <c r="A587" t="str">
        <f t="shared" si="9"/>
        <v>43.34.10 Maleraktiviteter</v>
      </c>
      <c r="B587" s="215" t="s">
        <v>1721</v>
      </c>
      <c r="C587" s="216" t="s">
        <v>1722</v>
      </c>
      <c r="D587" s="216" t="s">
        <v>1723</v>
      </c>
    </row>
    <row r="588" spans="1:4" ht="50.1" customHeight="1" x14ac:dyDescent="0.25">
      <c r="A588" t="str">
        <f t="shared" si="9"/>
        <v>43.34.20 Glarmesteraktiviteter</v>
      </c>
      <c r="B588" s="223" t="s">
        <v>1724</v>
      </c>
      <c r="C588" s="226" t="s">
        <v>1725</v>
      </c>
      <c r="D588" s="217" t="s">
        <v>1726</v>
      </c>
    </row>
    <row r="589" spans="1:4" ht="50.1" customHeight="1" x14ac:dyDescent="0.25">
      <c r="A589" t="str">
        <f t="shared" si="9"/>
        <v xml:space="preserve"> </v>
      </c>
      <c r="B589" s="224"/>
      <c r="C589" s="227"/>
      <c r="D589" s="218"/>
    </row>
    <row r="590" spans="1:4" ht="50.1" customHeight="1" thickBot="1" x14ac:dyDescent="0.3">
      <c r="A590" t="str">
        <f t="shared" si="9"/>
        <v xml:space="preserve"> </v>
      </c>
      <c r="B590" s="225"/>
      <c r="C590" s="228"/>
      <c r="D590" s="219" t="s">
        <v>1727</v>
      </c>
    </row>
    <row r="591" spans="1:4" ht="50.1" customHeight="1" x14ac:dyDescent="0.25">
      <c r="A591" t="str">
        <f t="shared" si="9"/>
        <v>43.35.00 Anden bygningsfærdiggørelse</v>
      </c>
      <c r="B591" s="223" t="s">
        <v>1728</v>
      </c>
      <c r="C591" s="226" t="s">
        <v>1729</v>
      </c>
      <c r="D591" s="217" t="s">
        <v>1730</v>
      </c>
    </row>
    <row r="592" spans="1:4" ht="50.1" customHeight="1" x14ac:dyDescent="0.25">
      <c r="A592" t="str">
        <f t="shared" si="9"/>
        <v xml:space="preserve"> </v>
      </c>
      <c r="B592" s="224"/>
      <c r="C592" s="227"/>
      <c r="D592" s="218"/>
    </row>
    <row r="593" spans="1:4" ht="50.1" customHeight="1" thickBot="1" x14ac:dyDescent="0.3">
      <c r="A593" t="str">
        <f t="shared" si="9"/>
        <v xml:space="preserve"> </v>
      </c>
      <c r="B593" s="225"/>
      <c r="C593" s="228"/>
      <c r="D593" s="219" t="s">
        <v>1731</v>
      </c>
    </row>
    <row r="594" spans="1:4" ht="50.1" customHeight="1" x14ac:dyDescent="0.25">
      <c r="A594" t="str">
        <f t="shared" si="9"/>
        <v>43.41.00 Tagdækningsaktiviteter</v>
      </c>
      <c r="B594" s="223" t="s">
        <v>1732</v>
      </c>
      <c r="C594" s="226" t="s">
        <v>1733</v>
      </c>
      <c r="D594" s="217" t="s">
        <v>1734</v>
      </c>
    </row>
    <row r="595" spans="1:4" ht="50.1" customHeight="1" x14ac:dyDescent="0.25">
      <c r="A595" t="str">
        <f t="shared" si="9"/>
        <v xml:space="preserve"> </v>
      </c>
      <c r="B595" s="224"/>
      <c r="C595" s="227"/>
      <c r="D595" s="218"/>
    </row>
    <row r="596" spans="1:4" ht="50.1" customHeight="1" thickBot="1" x14ac:dyDescent="0.3">
      <c r="A596" t="str">
        <f t="shared" si="9"/>
        <v xml:space="preserve"> </v>
      </c>
      <c r="B596" s="225"/>
      <c r="C596" s="228"/>
      <c r="D596" s="219" t="s">
        <v>1735</v>
      </c>
    </row>
    <row r="597" spans="1:4" ht="50.1" customHeight="1" thickBot="1" x14ac:dyDescent="0.3">
      <c r="A597" t="str">
        <f t="shared" si="9"/>
        <v>43.42.00 Andre specialiserede bygningsarbejder</v>
      </c>
      <c r="B597" s="215" t="s">
        <v>1736</v>
      </c>
      <c r="C597" s="216" t="s">
        <v>1737</v>
      </c>
      <c r="D597" s="216" t="s">
        <v>1738</v>
      </c>
    </row>
    <row r="598" spans="1:4" ht="50.1" customHeight="1" x14ac:dyDescent="0.25">
      <c r="A598" t="str">
        <f t="shared" si="9"/>
        <v>43.50.00 Specialiserede anlægsaktiviteter</v>
      </c>
      <c r="B598" s="223" t="s">
        <v>1739</v>
      </c>
      <c r="C598" s="226" t="s">
        <v>1740</v>
      </c>
      <c r="D598" s="217" t="s">
        <v>1741</v>
      </c>
    </row>
    <row r="599" spans="1:4" ht="50.1" customHeight="1" x14ac:dyDescent="0.25">
      <c r="A599" t="str">
        <f t="shared" si="9"/>
        <v xml:space="preserve"> </v>
      </c>
      <c r="B599" s="224"/>
      <c r="C599" s="227"/>
      <c r="D599" s="218"/>
    </row>
    <row r="600" spans="1:4" ht="50.1" customHeight="1" thickBot="1" x14ac:dyDescent="0.3">
      <c r="A600" t="str">
        <f t="shared" si="9"/>
        <v xml:space="preserve"> </v>
      </c>
      <c r="B600" s="225"/>
      <c r="C600" s="228"/>
      <c r="D600" s="219" t="s">
        <v>1742</v>
      </c>
    </row>
    <row r="601" spans="1:4" ht="50.1" customHeight="1" thickBot="1" x14ac:dyDescent="0.3">
      <c r="A601" t="str">
        <f t="shared" si="9"/>
        <v>43.60.00 Formidlingsaktiviteter i forbindelse med specialiserede bygge- og anlægsarbejder</v>
      </c>
      <c r="B601" s="215" t="s">
        <v>1743</v>
      </c>
      <c r="C601" s="216" t="s">
        <v>1744</v>
      </c>
      <c r="D601" s="216" t="s">
        <v>1745</v>
      </c>
    </row>
    <row r="602" spans="1:4" ht="50.1" customHeight="1" x14ac:dyDescent="0.25">
      <c r="A602" t="str">
        <f t="shared" si="9"/>
        <v>43.91.00 Murerarbejde</v>
      </c>
      <c r="B602" s="223" t="s">
        <v>1746</v>
      </c>
      <c r="C602" s="226" t="s">
        <v>1747</v>
      </c>
      <c r="D602" s="217" t="s">
        <v>1748</v>
      </c>
    </row>
    <row r="603" spans="1:4" ht="50.1" customHeight="1" x14ac:dyDescent="0.25">
      <c r="A603" t="str">
        <f t="shared" si="9"/>
        <v xml:space="preserve"> </v>
      </c>
      <c r="B603" s="224"/>
      <c r="C603" s="227"/>
      <c r="D603" s="218"/>
    </row>
    <row r="604" spans="1:4" ht="50.1" customHeight="1" thickBot="1" x14ac:dyDescent="0.3">
      <c r="A604" t="str">
        <f t="shared" si="9"/>
        <v xml:space="preserve"> </v>
      </c>
      <c r="B604" s="225"/>
      <c r="C604" s="228"/>
      <c r="D604" s="219" t="s">
        <v>1742</v>
      </c>
    </row>
    <row r="605" spans="1:4" ht="50.1" customHeight="1" x14ac:dyDescent="0.25">
      <c r="A605" t="str">
        <f t="shared" si="9"/>
        <v>43.99.00 Andre specialiserede byggeaktiviteter i.a.n.</v>
      </c>
      <c r="B605" s="223" t="s">
        <v>1749</v>
      </c>
      <c r="C605" s="226" t="s">
        <v>1750</v>
      </c>
      <c r="D605" s="217" t="s">
        <v>1751</v>
      </c>
    </row>
    <row r="606" spans="1:4" ht="50.1" customHeight="1" x14ac:dyDescent="0.25">
      <c r="A606" t="str">
        <f t="shared" si="9"/>
        <v xml:space="preserve"> </v>
      </c>
      <c r="B606" s="224"/>
      <c r="C606" s="227"/>
      <c r="D606" s="218"/>
    </row>
    <row r="607" spans="1:4" ht="50.1" customHeight="1" thickBot="1" x14ac:dyDescent="0.3">
      <c r="A607" t="str">
        <f t="shared" si="9"/>
        <v xml:space="preserve"> </v>
      </c>
      <c r="B607" s="225"/>
      <c r="C607" s="228"/>
      <c r="D607" s="219" t="s">
        <v>1752</v>
      </c>
    </row>
    <row r="608" spans="1:4" ht="50.1" customHeight="1" x14ac:dyDescent="0.25">
      <c r="A608" t="str">
        <f t="shared" si="9"/>
        <v>46.11.00 Agenturhandel med landbrugsråvarer, levende dyr, tekstilråvarer og halvfabrikata</v>
      </c>
      <c r="B608" s="223" t="s">
        <v>1753</v>
      </c>
      <c r="C608" s="226" t="s">
        <v>1754</v>
      </c>
      <c r="D608" s="217" t="s">
        <v>1755</v>
      </c>
    </row>
    <row r="609" spans="1:4" ht="50.1" customHeight="1" x14ac:dyDescent="0.25">
      <c r="A609" t="str">
        <f t="shared" si="9"/>
        <v xml:space="preserve"> </v>
      </c>
      <c r="B609" s="224"/>
      <c r="C609" s="227"/>
      <c r="D609" s="218"/>
    </row>
    <row r="610" spans="1:4" ht="50.1" customHeight="1" thickBot="1" x14ac:dyDescent="0.3">
      <c r="A610" t="str">
        <f t="shared" si="9"/>
        <v xml:space="preserve"> </v>
      </c>
      <c r="B610" s="225"/>
      <c r="C610" s="228"/>
      <c r="D610" s="219" t="s">
        <v>1756</v>
      </c>
    </row>
    <row r="611" spans="1:4" ht="50.1" customHeight="1" x14ac:dyDescent="0.25">
      <c r="A611" t="str">
        <f t="shared" si="9"/>
        <v>46.12.00 Agenturhandel med brændstoffer, malme, metaller og kemiske produkter til industrien</v>
      </c>
      <c r="B611" s="223" t="s">
        <v>1757</v>
      </c>
      <c r="C611" s="226" t="s">
        <v>1758</v>
      </c>
      <c r="D611" s="217" t="s">
        <v>1759</v>
      </c>
    </row>
    <row r="612" spans="1:4" ht="50.1" customHeight="1" x14ac:dyDescent="0.25">
      <c r="A612" t="str">
        <f t="shared" si="9"/>
        <v xml:space="preserve"> </v>
      </c>
      <c r="B612" s="224"/>
      <c r="C612" s="227"/>
      <c r="D612" s="218"/>
    </row>
    <row r="613" spans="1:4" ht="50.1" customHeight="1" thickBot="1" x14ac:dyDescent="0.3">
      <c r="A613" t="str">
        <f t="shared" si="9"/>
        <v xml:space="preserve"> </v>
      </c>
      <c r="B613" s="225"/>
      <c r="C613" s="228"/>
      <c r="D613" s="219" t="s">
        <v>1760</v>
      </c>
    </row>
    <row r="614" spans="1:4" ht="50.1" customHeight="1" x14ac:dyDescent="0.25">
      <c r="A614" t="str">
        <f t="shared" si="9"/>
        <v>46.13.00 Agenturhandel med tømmer og andre byggematerialer</v>
      </c>
      <c r="B614" s="223" t="s">
        <v>1761</v>
      </c>
      <c r="C614" s="226" t="s">
        <v>1762</v>
      </c>
      <c r="D614" s="217" t="s">
        <v>1763</v>
      </c>
    </row>
    <row r="615" spans="1:4" ht="50.1" customHeight="1" x14ac:dyDescent="0.25">
      <c r="A615" t="str">
        <f t="shared" si="9"/>
        <v xml:space="preserve"> </v>
      </c>
      <c r="B615" s="224"/>
      <c r="C615" s="227"/>
      <c r="D615" s="218"/>
    </row>
    <row r="616" spans="1:4" ht="50.1" customHeight="1" thickBot="1" x14ac:dyDescent="0.3">
      <c r="A616" t="str">
        <f t="shared" si="9"/>
        <v xml:space="preserve"> </v>
      </c>
      <c r="B616" s="225"/>
      <c r="C616" s="228"/>
      <c r="D616" s="219" t="s">
        <v>1760</v>
      </c>
    </row>
    <row r="617" spans="1:4" ht="50.1" customHeight="1" thickBot="1" x14ac:dyDescent="0.3">
      <c r="A617" t="str">
        <f t="shared" si="9"/>
        <v>46.14.00 Agenturhandel med maskiner, teknisk udstyr, skibe og flyvemaskiner</v>
      </c>
      <c r="B617" s="215" t="s">
        <v>1764</v>
      </c>
      <c r="C617" s="216" t="s">
        <v>1765</v>
      </c>
      <c r="D617" s="216" t="s">
        <v>1766</v>
      </c>
    </row>
    <row r="618" spans="1:4" ht="50.1" customHeight="1" thickBot="1" x14ac:dyDescent="0.3">
      <c r="A618" t="str">
        <f t="shared" si="9"/>
        <v>46.15.00 Agenturhandel med møbler, husholdningsartikler og isenkram</v>
      </c>
      <c r="B618" s="215" t="s">
        <v>1767</v>
      </c>
      <c r="C618" s="216" t="s">
        <v>1768</v>
      </c>
      <c r="D618" s="216" t="s">
        <v>1769</v>
      </c>
    </row>
    <row r="619" spans="1:4" ht="50.1" customHeight="1" thickBot="1" x14ac:dyDescent="0.3">
      <c r="A619" t="str">
        <f t="shared" si="9"/>
        <v>46.16.00 Agenturhandel med tekstiler, beklædning, pelsværk, fodtøj og lædervarer</v>
      </c>
      <c r="B619" s="215" t="s">
        <v>1770</v>
      </c>
      <c r="C619" s="216" t="s">
        <v>1771</v>
      </c>
      <c r="D619" s="216" t="s">
        <v>1772</v>
      </c>
    </row>
    <row r="620" spans="1:4" ht="50.1" customHeight="1" x14ac:dyDescent="0.25">
      <c r="A620" t="str">
        <f t="shared" si="9"/>
        <v>46.17.10 Fiskeauktioner</v>
      </c>
      <c r="B620" s="223" t="s">
        <v>1773</v>
      </c>
      <c r="C620" s="226" t="s">
        <v>1774</v>
      </c>
      <c r="D620" s="217" t="s">
        <v>1775</v>
      </c>
    </row>
    <row r="621" spans="1:4" ht="50.1" customHeight="1" x14ac:dyDescent="0.25">
      <c r="A621" t="str">
        <f t="shared" si="9"/>
        <v xml:space="preserve"> </v>
      </c>
      <c r="B621" s="224"/>
      <c r="C621" s="227"/>
      <c r="D621" s="218"/>
    </row>
    <row r="622" spans="1:4" ht="50.1" customHeight="1" thickBot="1" x14ac:dyDescent="0.3">
      <c r="A622" t="str">
        <f t="shared" si="9"/>
        <v xml:space="preserve"> </v>
      </c>
      <c r="B622" s="225"/>
      <c r="C622" s="228"/>
      <c r="D622" s="219" t="s">
        <v>1776</v>
      </c>
    </row>
    <row r="623" spans="1:4" ht="50.1" customHeight="1" thickBot="1" x14ac:dyDescent="0.3">
      <c r="A623" t="str">
        <f t="shared" si="9"/>
        <v>46.17.90 Anden agenturhandel med føde-, drikke- og tobaksvarer</v>
      </c>
      <c r="B623" s="215" t="s">
        <v>1777</v>
      </c>
      <c r="C623" s="216" t="s">
        <v>1778</v>
      </c>
      <c r="D623" s="216" t="s">
        <v>1779</v>
      </c>
    </row>
    <row r="624" spans="1:4" ht="50.1" customHeight="1" thickBot="1" x14ac:dyDescent="0.3">
      <c r="A624" t="str">
        <f t="shared" si="9"/>
        <v>46.18.10 Agenturhandel med motorcykler, biler, busser og trailere mv.</v>
      </c>
      <c r="B624" s="215" t="s">
        <v>1780</v>
      </c>
      <c r="C624" s="216" t="s">
        <v>1781</v>
      </c>
      <c r="D624" s="216" t="s">
        <v>1782</v>
      </c>
    </row>
    <row r="625" spans="1:4" ht="50.1" customHeight="1" thickBot="1" x14ac:dyDescent="0.3">
      <c r="A625" t="str">
        <f t="shared" si="9"/>
        <v>46.18.90 Agenturhandel med specialiseret varesortiment, bortset fra køretøjer</v>
      </c>
      <c r="B625" s="215" t="s">
        <v>1783</v>
      </c>
      <c r="C625" s="216" t="s">
        <v>1784</v>
      </c>
      <c r="D625" s="216" t="s">
        <v>1785</v>
      </c>
    </row>
    <row r="626" spans="1:4" ht="50.1" customHeight="1" thickBot="1" x14ac:dyDescent="0.3">
      <c r="A626" t="str">
        <f t="shared" si="9"/>
        <v>46.19.00 Agenturhandel med ikke-specialiseret varesortiment</v>
      </c>
      <c r="B626" s="215" t="s">
        <v>1786</v>
      </c>
      <c r="C626" s="216" t="s">
        <v>1787</v>
      </c>
      <c r="D626" s="216" t="s">
        <v>1788</v>
      </c>
    </row>
    <row r="627" spans="1:4" ht="50.1" customHeight="1" x14ac:dyDescent="0.25">
      <c r="A627" t="str">
        <f t="shared" si="9"/>
        <v>46.21.00 Engroshandel med korn, uforarbejdet tobak, såsæd og foderstoffer</v>
      </c>
      <c r="B627" s="223" t="s">
        <v>1789</v>
      </c>
      <c r="C627" s="226" t="s">
        <v>1790</v>
      </c>
      <c r="D627" s="217" t="s">
        <v>1791</v>
      </c>
    </row>
    <row r="628" spans="1:4" ht="50.1" customHeight="1" x14ac:dyDescent="0.25">
      <c r="A628" t="str">
        <f t="shared" si="9"/>
        <v xml:space="preserve"> </v>
      </c>
      <c r="B628" s="224"/>
      <c r="C628" s="227"/>
      <c r="D628" s="218"/>
    </row>
    <row r="629" spans="1:4" ht="50.1" customHeight="1" thickBot="1" x14ac:dyDescent="0.3">
      <c r="A629" t="str">
        <f t="shared" si="9"/>
        <v xml:space="preserve"> </v>
      </c>
      <c r="B629" s="225"/>
      <c r="C629" s="228"/>
      <c r="D629" s="219" t="s">
        <v>1792</v>
      </c>
    </row>
    <row r="630" spans="1:4" ht="50.1" customHeight="1" thickBot="1" x14ac:dyDescent="0.3">
      <c r="A630" t="str">
        <f t="shared" si="9"/>
        <v>46.22.00 Engroshandel med blomster og planter</v>
      </c>
      <c r="B630" s="215" t="s">
        <v>1793</v>
      </c>
      <c r="C630" s="216" t="s">
        <v>1794</v>
      </c>
      <c r="D630" s="216" t="s">
        <v>1795</v>
      </c>
    </row>
    <row r="631" spans="1:4" ht="50.1" customHeight="1" thickBot="1" x14ac:dyDescent="0.3">
      <c r="A631" t="str">
        <f t="shared" si="9"/>
        <v>46.23.00 Engroshandel med levende dyr</v>
      </c>
      <c r="B631" s="215" t="s">
        <v>1796</v>
      </c>
      <c r="C631" s="216" t="s">
        <v>1797</v>
      </c>
      <c r="D631" s="216" t="s">
        <v>1798</v>
      </c>
    </row>
    <row r="632" spans="1:4" ht="50.1" customHeight="1" x14ac:dyDescent="0.25">
      <c r="A632" t="str">
        <f t="shared" si="9"/>
        <v>46.24.00 Engroshandel med huder, skind og læder</v>
      </c>
      <c r="B632" s="223" t="s">
        <v>1799</v>
      </c>
      <c r="C632" s="226" t="s">
        <v>1800</v>
      </c>
      <c r="D632" s="217" t="s">
        <v>1801</v>
      </c>
    </row>
    <row r="633" spans="1:4" ht="50.1" customHeight="1" x14ac:dyDescent="0.25">
      <c r="A633" t="str">
        <f t="shared" si="9"/>
        <v xml:space="preserve"> </v>
      </c>
      <c r="B633" s="224"/>
      <c r="C633" s="227"/>
      <c r="D633" s="218"/>
    </row>
    <row r="634" spans="1:4" ht="50.1" customHeight="1" thickBot="1" x14ac:dyDescent="0.3">
      <c r="A634" t="str">
        <f t="shared" si="9"/>
        <v xml:space="preserve"> </v>
      </c>
      <c r="B634" s="225"/>
      <c r="C634" s="228"/>
      <c r="D634" s="219" t="s">
        <v>1802</v>
      </c>
    </row>
    <row r="635" spans="1:4" ht="50.1" customHeight="1" x14ac:dyDescent="0.25">
      <c r="A635" t="str">
        <f t="shared" si="9"/>
        <v>46.31.00 Engroshandel med frugt og grøntsager</v>
      </c>
      <c r="B635" s="223" t="s">
        <v>1803</v>
      </c>
      <c r="C635" s="226" t="s">
        <v>1804</v>
      </c>
      <c r="D635" s="217" t="s">
        <v>1805</v>
      </c>
    </row>
    <row r="636" spans="1:4" ht="50.1" customHeight="1" x14ac:dyDescent="0.25">
      <c r="A636" t="str">
        <f t="shared" si="9"/>
        <v xml:space="preserve"> </v>
      </c>
      <c r="B636" s="224"/>
      <c r="C636" s="227"/>
      <c r="D636" s="218"/>
    </row>
    <row r="637" spans="1:4" ht="50.1" customHeight="1" thickBot="1" x14ac:dyDescent="0.3">
      <c r="A637" t="str">
        <f t="shared" si="9"/>
        <v xml:space="preserve"> </v>
      </c>
      <c r="B637" s="225"/>
      <c r="C637" s="228"/>
      <c r="D637" s="219" t="s">
        <v>1806</v>
      </c>
    </row>
    <row r="638" spans="1:4" ht="50.1" customHeight="1" x14ac:dyDescent="0.25">
      <c r="A638" t="str">
        <f t="shared" si="9"/>
        <v>46.32.10 Engroshandel med kød og kødprodukter</v>
      </c>
      <c r="B638" s="223" t="s">
        <v>1807</v>
      </c>
      <c r="C638" s="226" t="s">
        <v>1808</v>
      </c>
      <c r="D638" s="217" t="s">
        <v>1809</v>
      </c>
    </row>
    <row r="639" spans="1:4" ht="50.1" customHeight="1" x14ac:dyDescent="0.25">
      <c r="A639" t="str">
        <f t="shared" si="9"/>
        <v xml:space="preserve"> </v>
      </c>
      <c r="B639" s="224"/>
      <c r="C639" s="227"/>
      <c r="D639" s="218"/>
    </row>
    <row r="640" spans="1:4" ht="50.1" customHeight="1" thickBot="1" x14ac:dyDescent="0.3">
      <c r="A640" t="str">
        <f t="shared" si="9"/>
        <v xml:space="preserve"> </v>
      </c>
      <c r="B640" s="225"/>
      <c r="C640" s="228"/>
      <c r="D640" s="219" t="s">
        <v>1810</v>
      </c>
    </row>
    <row r="641" spans="1:4" ht="50.1" customHeight="1" thickBot="1" x14ac:dyDescent="0.3">
      <c r="A641" t="str">
        <f t="shared" si="9"/>
        <v>46.32.20 Engroshandel med fisk og fiskeprodukter</v>
      </c>
      <c r="B641" s="215" t="s">
        <v>1811</v>
      </c>
      <c r="C641" s="216" t="s">
        <v>1812</v>
      </c>
      <c r="D641" s="216" t="s">
        <v>1813</v>
      </c>
    </row>
    <row r="642" spans="1:4" ht="50.1" customHeight="1" thickBot="1" x14ac:dyDescent="0.3">
      <c r="A642" t="str">
        <f t="shared" si="9"/>
        <v>46.33.00 Engroshandel med mejeriprodukter, æg samt spiselige olier og fedtstoffer</v>
      </c>
      <c r="B642" s="215" t="s">
        <v>1814</v>
      </c>
      <c r="C642" s="216" t="s">
        <v>1815</v>
      </c>
      <c r="D642" s="216" t="s">
        <v>1816</v>
      </c>
    </row>
    <row r="643" spans="1:4" ht="50.1" customHeight="1" x14ac:dyDescent="0.25">
      <c r="A643" t="str">
        <f t="shared" ref="A643:A706" si="10">B643 &amp; " " &amp; C643</f>
        <v>46.34.10 Engroshandel med øl, mineralvand, frugt- og grøntsagssaft</v>
      </c>
      <c r="B643" s="223" t="s">
        <v>1817</v>
      </c>
      <c r="C643" s="226" t="s">
        <v>1818</v>
      </c>
      <c r="D643" s="217" t="s">
        <v>1819</v>
      </c>
    </row>
    <row r="644" spans="1:4" ht="50.1" customHeight="1" x14ac:dyDescent="0.25">
      <c r="A644" t="str">
        <f t="shared" si="10"/>
        <v xml:space="preserve"> </v>
      </c>
      <c r="B644" s="224"/>
      <c r="C644" s="227"/>
      <c r="D644" s="218"/>
    </row>
    <row r="645" spans="1:4" ht="50.1" customHeight="1" thickBot="1" x14ac:dyDescent="0.3">
      <c r="A645" t="str">
        <f t="shared" si="10"/>
        <v xml:space="preserve"> </v>
      </c>
      <c r="B645" s="225"/>
      <c r="C645" s="228"/>
      <c r="D645" s="219" t="s">
        <v>1820</v>
      </c>
    </row>
    <row r="646" spans="1:4" ht="50.1" customHeight="1" x14ac:dyDescent="0.25">
      <c r="A646" t="str">
        <f t="shared" si="10"/>
        <v>46.34.20 Engroshandel med vin og spiritus</v>
      </c>
      <c r="B646" s="223" t="s">
        <v>1821</v>
      </c>
      <c r="C646" s="226" t="s">
        <v>1822</v>
      </c>
      <c r="D646" s="217" t="s">
        <v>1823</v>
      </c>
    </row>
    <row r="647" spans="1:4" ht="50.1" customHeight="1" x14ac:dyDescent="0.25">
      <c r="A647" t="str">
        <f t="shared" si="10"/>
        <v xml:space="preserve"> </v>
      </c>
      <c r="B647" s="224"/>
      <c r="C647" s="227"/>
      <c r="D647" s="218"/>
    </row>
    <row r="648" spans="1:4" ht="50.1" customHeight="1" thickBot="1" x14ac:dyDescent="0.3">
      <c r="A648" t="str">
        <f t="shared" si="10"/>
        <v xml:space="preserve"> </v>
      </c>
      <c r="B648" s="225"/>
      <c r="C648" s="228"/>
      <c r="D648" s="219" t="s">
        <v>1824</v>
      </c>
    </row>
    <row r="649" spans="1:4" ht="50.1" customHeight="1" x14ac:dyDescent="0.25">
      <c r="A649" t="str">
        <f t="shared" si="10"/>
        <v>46.35.00 Engroshandel med tobaksvarer</v>
      </c>
      <c r="B649" s="223" t="s">
        <v>1825</v>
      </c>
      <c r="C649" s="226" t="s">
        <v>1826</v>
      </c>
      <c r="D649" s="217" t="s">
        <v>1827</v>
      </c>
    </row>
    <row r="650" spans="1:4" ht="50.1" customHeight="1" x14ac:dyDescent="0.25">
      <c r="A650" t="str">
        <f t="shared" si="10"/>
        <v xml:space="preserve"> </v>
      </c>
      <c r="B650" s="224"/>
      <c r="C650" s="227"/>
      <c r="D650" s="218"/>
    </row>
    <row r="651" spans="1:4" ht="50.1" customHeight="1" thickBot="1" x14ac:dyDescent="0.3">
      <c r="A651" t="str">
        <f t="shared" si="10"/>
        <v xml:space="preserve"> </v>
      </c>
      <c r="B651" s="225"/>
      <c r="C651" s="228"/>
      <c r="D651" s="219" t="s">
        <v>1828</v>
      </c>
    </row>
    <row r="652" spans="1:4" ht="50.1" customHeight="1" thickBot="1" x14ac:dyDescent="0.3">
      <c r="A652" t="str">
        <f t="shared" si="10"/>
        <v>46.36.00 Engroshandel med sukker, chokolade og sukkervarer</v>
      </c>
      <c r="B652" s="215" t="s">
        <v>1829</v>
      </c>
      <c r="C652" s="216" t="s">
        <v>1830</v>
      </c>
      <c r="D652" s="216" t="s">
        <v>1831</v>
      </c>
    </row>
    <row r="653" spans="1:4" ht="50.1" customHeight="1" x14ac:dyDescent="0.25">
      <c r="A653" t="str">
        <f t="shared" si="10"/>
        <v>46.37.00 Engroshandel med kaffe, te, kakao og krydderier</v>
      </c>
      <c r="B653" s="223" t="s">
        <v>1832</v>
      </c>
      <c r="C653" s="226" t="s">
        <v>1833</v>
      </c>
      <c r="D653" s="217" t="s">
        <v>1834</v>
      </c>
    </row>
    <row r="654" spans="1:4" ht="50.1" customHeight="1" x14ac:dyDescent="0.25">
      <c r="A654" t="str">
        <f t="shared" si="10"/>
        <v xml:space="preserve"> </v>
      </c>
      <c r="B654" s="224"/>
      <c r="C654" s="227"/>
      <c r="D654" s="218"/>
    </row>
    <row r="655" spans="1:4" ht="50.1" customHeight="1" thickBot="1" x14ac:dyDescent="0.3">
      <c r="A655" t="str">
        <f t="shared" si="10"/>
        <v xml:space="preserve"> </v>
      </c>
      <c r="B655" s="225"/>
      <c r="C655" s="228"/>
      <c r="D655" s="219" t="s">
        <v>1835</v>
      </c>
    </row>
    <row r="656" spans="1:4" ht="50.1" customHeight="1" thickBot="1" x14ac:dyDescent="0.3">
      <c r="A656" t="str">
        <f t="shared" si="10"/>
        <v>46.38.00 Engroshandel med andre fødevarer</v>
      </c>
      <c r="B656" s="215" t="s">
        <v>1836</v>
      </c>
      <c r="C656" s="216" t="s">
        <v>1837</v>
      </c>
      <c r="D656" s="216" t="s">
        <v>1838</v>
      </c>
    </row>
    <row r="657" spans="1:4" ht="50.1" customHeight="1" thickBot="1" x14ac:dyDescent="0.3">
      <c r="A657" t="str">
        <f t="shared" si="10"/>
        <v>46.39.00 Ikke-specialiseret engroshandel med føde-, drikke- og tobaksvarer</v>
      </c>
      <c r="B657" s="215" t="s">
        <v>1839</v>
      </c>
      <c r="C657" s="216" t="s">
        <v>1840</v>
      </c>
      <c r="D657" s="216" t="s">
        <v>1841</v>
      </c>
    </row>
    <row r="658" spans="1:4" ht="50.1" customHeight="1" x14ac:dyDescent="0.25">
      <c r="A658" t="str">
        <f t="shared" si="10"/>
        <v>46.41.00 Engroshandel med tekstiler</v>
      </c>
      <c r="B658" s="223" t="s">
        <v>1842</v>
      </c>
      <c r="C658" s="226" t="s">
        <v>1843</v>
      </c>
      <c r="D658" s="217" t="s">
        <v>1844</v>
      </c>
    </row>
    <row r="659" spans="1:4" ht="50.1" customHeight="1" x14ac:dyDescent="0.25">
      <c r="A659" t="str">
        <f t="shared" si="10"/>
        <v xml:space="preserve"> </v>
      </c>
      <c r="B659" s="224"/>
      <c r="C659" s="227"/>
      <c r="D659" s="218"/>
    </row>
    <row r="660" spans="1:4" ht="50.1" customHeight="1" thickBot="1" x14ac:dyDescent="0.3">
      <c r="A660" t="str">
        <f t="shared" si="10"/>
        <v xml:space="preserve"> </v>
      </c>
      <c r="B660" s="225"/>
      <c r="C660" s="228"/>
      <c r="D660" s="219" t="s">
        <v>1845</v>
      </c>
    </row>
    <row r="661" spans="1:4" ht="50.1" customHeight="1" x14ac:dyDescent="0.25">
      <c r="A661" t="str">
        <f t="shared" si="10"/>
        <v>46.42.10 Engroshandel med beklædning</v>
      </c>
      <c r="B661" s="223" t="s">
        <v>1846</v>
      </c>
      <c r="C661" s="226" t="s">
        <v>1847</v>
      </c>
      <c r="D661" s="217" t="s">
        <v>1848</v>
      </c>
    </row>
    <row r="662" spans="1:4" ht="50.1" customHeight="1" x14ac:dyDescent="0.25">
      <c r="A662" t="str">
        <f t="shared" si="10"/>
        <v xml:space="preserve"> </v>
      </c>
      <c r="B662" s="224"/>
      <c r="C662" s="227"/>
      <c r="D662" s="218"/>
    </row>
    <row r="663" spans="1:4" ht="50.1" customHeight="1" thickBot="1" x14ac:dyDescent="0.3">
      <c r="A663" t="str">
        <f t="shared" si="10"/>
        <v xml:space="preserve"> </v>
      </c>
      <c r="B663" s="225"/>
      <c r="C663" s="228"/>
      <c r="D663" s="219" t="s">
        <v>1849</v>
      </c>
    </row>
    <row r="664" spans="1:4" ht="50.1" customHeight="1" x14ac:dyDescent="0.25">
      <c r="A664" t="str">
        <f t="shared" si="10"/>
        <v>46.42.20 Engroshandel med fodtøj</v>
      </c>
      <c r="B664" s="223" t="s">
        <v>1850</v>
      </c>
      <c r="C664" s="226" t="s">
        <v>1851</v>
      </c>
      <c r="D664" s="217" t="s">
        <v>1852</v>
      </c>
    </row>
    <row r="665" spans="1:4" ht="50.1" customHeight="1" x14ac:dyDescent="0.25">
      <c r="A665" t="str">
        <f t="shared" si="10"/>
        <v xml:space="preserve"> </v>
      </c>
      <c r="B665" s="224"/>
      <c r="C665" s="227"/>
      <c r="D665" s="218"/>
    </row>
    <row r="666" spans="1:4" ht="50.1" customHeight="1" thickBot="1" x14ac:dyDescent="0.3">
      <c r="A666" t="str">
        <f t="shared" si="10"/>
        <v xml:space="preserve"> </v>
      </c>
      <c r="B666" s="225"/>
      <c r="C666" s="228"/>
      <c r="D666" s="219" t="s">
        <v>1853</v>
      </c>
    </row>
    <row r="667" spans="1:4" ht="50.1" customHeight="1" thickBot="1" x14ac:dyDescent="0.3">
      <c r="A667" t="str">
        <f t="shared" si="10"/>
        <v>46.43.10 Engroshandel med hvidevarer og elektriske husholdningsartikler</v>
      </c>
      <c r="B667" s="215" t="s">
        <v>1854</v>
      </c>
      <c r="C667" s="216" t="s">
        <v>1855</v>
      </c>
      <c r="D667" s="216" t="s">
        <v>1856</v>
      </c>
    </row>
    <row r="668" spans="1:4" ht="50.1" customHeight="1" x14ac:dyDescent="0.25">
      <c r="A668" t="str">
        <f t="shared" si="10"/>
        <v>46.43.20 Engroshandel med radio og tv, fotografiske og optiske artikler</v>
      </c>
      <c r="B668" s="223" t="s">
        <v>1857</v>
      </c>
      <c r="C668" s="226" t="s">
        <v>1858</v>
      </c>
      <c r="D668" s="217" t="s">
        <v>1859</v>
      </c>
    </row>
    <row r="669" spans="1:4" ht="50.1" customHeight="1" x14ac:dyDescent="0.25">
      <c r="A669" t="str">
        <f t="shared" si="10"/>
        <v xml:space="preserve"> </v>
      </c>
      <c r="B669" s="224"/>
      <c r="C669" s="227"/>
      <c r="D669" s="218"/>
    </row>
    <row r="670" spans="1:4" ht="50.1" customHeight="1" thickBot="1" x14ac:dyDescent="0.3">
      <c r="A670" t="str">
        <f t="shared" si="10"/>
        <v xml:space="preserve"> </v>
      </c>
      <c r="B670" s="225"/>
      <c r="C670" s="228"/>
      <c r="D670" s="219" t="s">
        <v>1860</v>
      </c>
    </row>
    <row r="671" spans="1:4" ht="50.1" customHeight="1" thickBot="1" x14ac:dyDescent="0.3">
      <c r="A671" t="str">
        <f t="shared" si="10"/>
        <v>46.44.10 Engroshandel med porcelæns- og glasvarer</v>
      </c>
      <c r="B671" s="215" t="s">
        <v>1861</v>
      </c>
      <c r="C671" s="216" t="s">
        <v>1862</v>
      </c>
      <c r="D671" s="216" t="s">
        <v>1863</v>
      </c>
    </row>
    <row r="672" spans="1:4" ht="50.1" customHeight="1" thickBot="1" x14ac:dyDescent="0.3">
      <c r="A672" t="str">
        <f t="shared" si="10"/>
        <v>46.44.20 Engroshandel med rengøringsmidler</v>
      </c>
      <c r="B672" s="215" t="s">
        <v>1864</v>
      </c>
      <c r="C672" s="216" t="s">
        <v>1865</v>
      </c>
      <c r="D672" s="216" t="s">
        <v>1866</v>
      </c>
    </row>
    <row r="673" spans="1:4" ht="50.1" customHeight="1" thickBot="1" x14ac:dyDescent="0.3">
      <c r="A673" t="str">
        <f t="shared" si="10"/>
        <v>46.45.00 Engroshandel med parfumerivarer og kosmetik</v>
      </c>
      <c r="B673" s="215" t="s">
        <v>1867</v>
      </c>
      <c r="C673" s="216" t="s">
        <v>1868</v>
      </c>
      <c r="D673" s="216" t="s">
        <v>1869</v>
      </c>
    </row>
    <row r="674" spans="1:4" ht="50.1" customHeight="1" x14ac:dyDescent="0.25">
      <c r="A674" t="str">
        <f t="shared" si="10"/>
        <v>46.46.10 Engroshandel med medicinalvarer og sygeplejeartikler</v>
      </c>
      <c r="B674" s="223" t="s">
        <v>1870</v>
      </c>
      <c r="C674" s="226" t="s">
        <v>1871</v>
      </c>
      <c r="D674" s="217" t="s">
        <v>1872</v>
      </c>
    </row>
    <row r="675" spans="1:4" ht="50.1" customHeight="1" x14ac:dyDescent="0.25">
      <c r="A675" t="str">
        <f t="shared" si="10"/>
        <v xml:space="preserve"> </v>
      </c>
      <c r="B675" s="224"/>
      <c r="C675" s="227"/>
      <c r="D675" s="218"/>
    </row>
    <row r="676" spans="1:4" ht="50.1" customHeight="1" thickBot="1" x14ac:dyDescent="0.3">
      <c r="A676" t="str">
        <f t="shared" si="10"/>
        <v xml:space="preserve"> </v>
      </c>
      <c r="B676" s="225"/>
      <c r="C676" s="228"/>
      <c r="D676" s="219" t="s">
        <v>1873</v>
      </c>
    </row>
    <row r="677" spans="1:4" ht="50.1" customHeight="1" thickBot="1" x14ac:dyDescent="0.3">
      <c r="A677" t="str">
        <f t="shared" si="10"/>
        <v>46.46.20 Engroshandel med læge- og hospitalsartikler</v>
      </c>
      <c r="B677" s="215" t="s">
        <v>1874</v>
      </c>
      <c r="C677" s="216" t="s">
        <v>1875</v>
      </c>
      <c r="D677" s="216" t="s">
        <v>1876</v>
      </c>
    </row>
    <row r="678" spans="1:4" ht="50.1" customHeight="1" x14ac:dyDescent="0.25">
      <c r="A678" t="str">
        <f t="shared" si="10"/>
        <v>46.47.00 Engroshandel med møbler til bolig-, kontor- og butiksbrug, tæpper og belysningsartikler</v>
      </c>
      <c r="B678" s="223" t="s">
        <v>1877</v>
      </c>
      <c r="C678" s="226" t="s">
        <v>1878</v>
      </c>
      <c r="D678" s="217" t="s">
        <v>1879</v>
      </c>
    </row>
    <row r="679" spans="1:4" ht="50.1" customHeight="1" x14ac:dyDescent="0.25">
      <c r="A679" t="str">
        <f t="shared" si="10"/>
        <v xml:space="preserve"> </v>
      </c>
      <c r="B679" s="224"/>
      <c r="C679" s="227"/>
      <c r="D679" s="218"/>
    </row>
    <row r="680" spans="1:4" ht="50.1" customHeight="1" thickBot="1" x14ac:dyDescent="0.3">
      <c r="A680" t="str">
        <f t="shared" si="10"/>
        <v xml:space="preserve"> </v>
      </c>
      <c r="B680" s="225"/>
      <c r="C680" s="228"/>
      <c r="D680" s="219" t="s">
        <v>1880</v>
      </c>
    </row>
    <row r="681" spans="1:4" ht="50.1" customHeight="1" thickBot="1" x14ac:dyDescent="0.3">
      <c r="A681" t="str">
        <f t="shared" si="10"/>
        <v>46.48.00 Engroshandel med ure og smykker</v>
      </c>
      <c r="B681" s="215" t="s">
        <v>1881</v>
      </c>
      <c r="C681" s="216" t="s">
        <v>1882</v>
      </c>
      <c r="D681" s="216" t="s">
        <v>1883</v>
      </c>
    </row>
    <row r="682" spans="1:4" ht="50.1" customHeight="1" thickBot="1" x14ac:dyDescent="0.3">
      <c r="A682" t="str">
        <f t="shared" si="10"/>
        <v>46.49.10 Engroshandel med cykler, sportsartikler og lystbåde</v>
      </c>
      <c r="B682" s="215" t="s">
        <v>1884</v>
      </c>
      <c r="C682" s="216" t="s">
        <v>1885</v>
      </c>
      <c r="D682" s="216" t="s">
        <v>1886</v>
      </c>
    </row>
    <row r="683" spans="1:4" ht="50.1" customHeight="1" thickBot="1" x14ac:dyDescent="0.3">
      <c r="A683" t="str">
        <f t="shared" si="10"/>
        <v>46.49.20 Engroshandel med bøger, papir og papirvarer</v>
      </c>
      <c r="B683" s="215" t="s">
        <v>1887</v>
      </c>
      <c r="C683" s="216" t="s">
        <v>1888</v>
      </c>
      <c r="D683" s="216" t="s">
        <v>1889</v>
      </c>
    </row>
    <row r="684" spans="1:4" ht="50.1" customHeight="1" thickBot="1" x14ac:dyDescent="0.3">
      <c r="A684" t="str">
        <f t="shared" si="10"/>
        <v>46.49.30 Engroshandel med kufferter og lædervarer</v>
      </c>
      <c r="B684" s="215" t="s">
        <v>1890</v>
      </c>
      <c r="C684" s="216" t="s">
        <v>1891</v>
      </c>
      <c r="D684" s="216" t="s">
        <v>1892</v>
      </c>
    </row>
    <row r="685" spans="1:4" ht="50.1" customHeight="1" thickBot="1" x14ac:dyDescent="0.3">
      <c r="A685" t="str">
        <f t="shared" si="10"/>
        <v>46.49.90 Engroshandel med andre husholdningsartikler i.a.n.</v>
      </c>
      <c r="B685" s="215" t="s">
        <v>1893</v>
      </c>
      <c r="C685" s="216" t="s">
        <v>1894</v>
      </c>
      <c r="D685" s="216" t="s">
        <v>1895</v>
      </c>
    </row>
    <row r="686" spans="1:4" ht="50.1" customHeight="1" thickBot="1" x14ac:dyDescent="0.3">
      <c r="A686" t="str">
        <f t="shared" si="10"/>
        <v>46.50.00 Engroshandel med informations- og kommunikationsudstyr</v>
      </c>
      <c r="B686" s="215" t="s">
        <v>1896</v>
      </c>
      <c r="C686" s="216" t="s">
        <v>1897</v>
      </c>
      <c r="D686" s="216" t="s">
        <v>1898</v>
      </c>
    </row>
    <row r="687" spans="1:4" ht="50.1" customHeight="1" thickBot="1" x14ac:dyDescent="0.3">
      <c r="A687" t="str">
        <f t="shared" si="10"/>
        <v>46.61.00 Engroshandel med landbrugsmaskiner, -udstyr og tilbehør hertil</v>
      </c>
      <c r="B687" s="215" t="s">
        <v>1899</v>
      </c>
      <c r="C687" s="216" t="s">
        <v>1900</v>
      </c>
      <c r="D687" s="216" t="s">
        <v>1901</v>
      </c>
    </row>
    <row r="688" spans="1:4" ht="50.1" customHeight="1" thickBot="1" x14ac:dyDescent="0.3">
      <c r="A688" t="str">
        <f t="shared" si="10"/>
        <v>46.62.00 Engroshandel med værktøjsmaskiner</v>
      </c>
      <c r="B688" s="215" t="s">
        <v>1902</v>
      </c>
      <c r="C688" s="216" t="s">
        <v>1903</v>
      </c>
      <c r="D688" s="216" t="s">
        <v>1904</v>
      </c>
    </row>
    <row r="689" spans="1:4" ht="50.1" customHeight="1" thickBot="1" x14ac:dyDescent="0.3">
      <c r="A689" t="str">
        <f t="shared" si="10"/>
        <v>46.63.00 Engroshandel med maskiner til minedrift og bygge- og anlægsaktiviteter</v>
      </c>
      <c r="B689" s="215" t="s">
        <v>1905</v>
      </c>
      <c r="C689" s="216" t="s">
        <v>1906</v>
      </c>
      <c r="D689" s="216" t="s">
        <v>1907</v>
      </c>
    </row>
    <row r="690" spans="1:4" ht="50.1" customHeight="1" thickBot="1" x14ac:dyDescent="0.3">
      <c r="A690" t="str">
        <f t="shared" si="10"/>
        <v>46.64.00 Engroshandel med andre maskiner og andet udstyr</v>
      </c>
      <c r="B690" s="215" t="s">
        <v>1908</v>
      </c>
      <c r="C690" s="216" t="s">
        <v>1909</v>
      </c>
      <c r="D690" s="216" t="s">
        <v>1910</v>
      </c>
    </row>
    <row r="691" spans="1:4" ht="50.1" customHeight="1" thickBot="1" x14ac:dyDescent="0.3">
      <c r="A691" t="str">
        <f t="shared" si="10"/>
        <v>46.71.00 Engroshandel med motorkøretøjer</v>
      </c>
      <c r="B691" s="215" t="s">
        <v>1911</v>
      </c>
      <c r="C691" s="216" t="s">
        <v>1912</v>
      </c>
      <c r="D691" s="216" t="s">
        <v>1913</v>
      </c>
    </row>
    <row r="692" spans="1:4" ht="50.1" customHeight="1" thickBot="1" x14ac:dyDescent="0.3">
      <c r="A692" t="str">
        <f t="shared" si="10"/>
        <v>46.72.00 Engroshandel med reservedele og tilbehør til motorkøretøjer</v>
      </c>
      <c r="B692" s="215" t="s">
        <v>1914</v>
      </c>
      <c r="C692" s="216" t="s">
        <v>1915</v>
      </c>
      <c r="D692" s="216" t="s">
        <v>1916</v>
      </c>
    </row>
    <row r="693" spans="1:4" ht="50.1" customHeight="1" thickBot="1" x14ac:dyDescent="0.3">
      <c r="A693" t="str">
        <f t="shared" si="10"/>
        <v>46.73.00 Engroshandel med motorcykler samt reservedele og tilbehør dertil</v>
      </c>
      <c r="B693" s="215" t="s">
        <v>1917</v>
      </c>
      <c r="C693" s="216" t="s">
        <v>1918</v>
      </c>
      <c r="D693" s="216" t="s">
        <v>1919</v>
      </c>
    </row>
    <row r="694" spans="1:4" ht="50.1" customHeight="1" thickBot="1" x14ac:dyDescent="0.3">
      <c r="A694" t="str">
        <f t="shared" si="10"/>
        <v>46.81.00 Engroshandel med fast, flydende og luftformigt brændstof og lignende varer</v>
      </c>
      <c r="B694" s="215" t="s">
        <v>1920</v>
      </c>
      <c r="C694" s="216" t="s">
        <v>1921</v>
      </c>
      <c r="D694" s="216" t="s">
        <v>1922</v>
      </c>
    </row>
    <row r="695" spans="1:4" ht="50.1" customHeight="1" x14ac:dyDescent="0.25">
      <c r="A695" t="str">
        <f t="shared" si="10"/>
        <v>46.82.00 Engroshandel med metaller og metalmalme</v>
      </c>
      <c r="B695" s="223" t="s">
        <v>1923</v>
      </c>
      <c r="C695" s="226" t="s">
        <v>1924</v>
      </c>
      <c r="D695" s="217" t="s">
        <v>1925</v>
      </c>
    </row>
    <row r="696" spans="1:4" ht="50.1" customHeight="1" x14ac:dyDescent="0.25">
      <c r="A696" t="str">
        <f t="shared" si="10"/>
        <v xml:space="preserve"> </v>
      </c>
      <c r="B696" s="224"/>
      <c r="C696" s="227"/>
      <c r="D696" s="218"/>
    </row>
    <row r="697" spans="1:4" ht="50.1" customHeight="1" thickBot="1" x14ac:dyDescent="0.3">
      <c r="A697" t="str">
        <f t="shared" si="10"/>
        <v xml:space="preserve"> </v>
      </c>
      <c r="B697" s="225"/>
      <c r="C697" s="228"/>
      <c r="D697" s="219" t="s">
        <v>1926</v>
      </c>
    </row>
    <row r="698" spans="1:4" ht="50.1" customHeight="1" thickBot="1" x14ac:dyDescent="0.3">
      <c r="A698" t="str">
        <f t="shared" si="10"/>
        <v>46.83.00 Engroshandel med træ og byggematerialer samt sanitetsartikler</v>
      </c>
      <c r="B698" s="215" t="s">
        <v>1927</v>
      </c>
      <c r="C698" s="216" t="s">
        <v>1928</v>
      </c>
      <c r="D698" s="216" t="s">
        <v>1929</v>
      </c>
    </row>
    <row r="699" spans="1:4" ht="50.1" customHeight="1" thickBot="1" x14ac:dyDescent="0.3">
      <c r="A699" t="str">
        <f t="shared" si="10"/>
        <v>46.84.00 Engroshandel med isenkram, varmeanlæg og tilbehør</v>
      </c>
      <c r="B699" s="215" t="s">
        <v>1930</v>
      </c>
      <c r="C699" s="216" t="s">
        <v>1931</v>
      </c>
      <c r="D699" s="216" t="s">
        <v>1932</v>
      </c>
    </row>
    <row r="700" spans="1:4" ht="50.1" customHeight="1" x14ac:dyDescent="0.25">
      <c r="A700" t="str">
        <f t="shared" si="10"/>
        <v>46.85.00 Engroshandel med kemiske produkter</v>
      </c>
      <c r="B700" s="223" t="s">
        <v>1933</v>
      </c>
      <c r="C700" s="226" t="s">
        <v>1934</v>
      </c>
      <c r="D700" s="217" t="s">
        <v>1935</v>
      </c>
    </row>
    <row r="701" spans="1:4" ht="50.1" customHeight="1" x14ac:dyDescent="0.25">
      <c r="A701" t="str">
        <f t="shared" si="10"/>
        <v xml:space="preserve"> </v>
      </c>
      <c r="B701" s="224"/>
      <c r="C701" s="227"/>
      <c r="D701" s="218"/>
    </row>
    <row r="702" spans="1:4" ht="50.1" customHeight="1" thickBot="1" x14ac:dyDescent="0.3">
      <c r="A702" t="str">
        <f t="shared" si="10"/>
        <v xml:space="preserve"> </v>
      </c>
      <c r="B702" s="225"/>
      <c r="C702" s="228"/>
      <c r="D702" s="219" t="s">
        <v>1936</v>
      </c>
    </row>
    <row r="703" spans="1:4" ht="50.1" customHeight="1" thickBot="1" x14ac:dyDescent="0.3">
      <c r="A703" t="str">
        <f t="shared" si="10"/>
        <v>46.86.00 Engroshandel med andre råvarer og halvfabrikata</v>
      </c>
      <c r="B703" s="215" t="s">
        <v>1937</v>
      </c>
      <c r="C703" s="216" t="s">
        <v>1938</v>
      </c>
      <c r="D703" s="216" t="s">
        <v>1939</v>
      </c>
    </row>
    <row r="704" spans="1:4" ht="50.1" customHeight="1" thickBot="1" x14ac:dyDescent="0.3">
      <c r="A704" t="str">
        <f t="shared" si="10"/>
        <v>46.87.00 Engroshandel med affaldsprodukter</v>
      </c>
      <c r="B704" s="215" t="s">
        <v>1940</v>
      </c>
      <c r="C704" s="216" t="s">
        <v>1941</v>
      </c>
      <c r="D704" s="216" t="s">
        <v>1942</v>
      </c>
    </row>
    <row r="705" spans="1:4" ht="50.1" customHeight="1" thickBot="1" x14ac:dyDescent="0.3">
      <c r="A705" t="str">
        <f t="shared" si="10"/>
        <v>46.89.00 Anden specialiseret engroshandel i.a.n.</v>
      </c>
      <c r="B705" s="215" t="s">
        <v>1943</v>
      </c>
      <c r="C705" s="216" t="s">
        <v>1944</v>
      </c>
      <c r="D705" s="216" t="s">
        <v>1945</v>
      </c>
    </row>
    <row r="706" spans="1:4" ht="50.1" customHeight="1" thickBot="1" x14ac:dyDescent="0.3">
      <c r="A706" t="str">
        <f t="shared" si="10"/>
        <v>46.90.00 Ikke-specialiseret engroshandel</v>
      </c>
      <c r="B706" s="215" t="s">
        <v>1946</v>
      </c>
      <c r="C706" s="216" t="s">
        <v>1947</v>
      </c>
      <c r="D706" s="216" t="s">
        <v>1948</v>
      </c>
    </row>
    <row r="707" spans="1:4" ht="50.1" customHeight="1" thickBot="1" x14ac:dyDescent="0.3">
      <c r="A707" t="str">
        <f t="shared" ref="A707:A770" si="11">B707 &amp; " " &amp; C707</f>
        <v>47.11.10 Detailhandel med kioskvarer</v>
      </c>
      <c r="B707" s="215" t="s">
        <v>1949</v>
      </c>
      <c r="C707" s="216" t="s">
        <v>1950</v>
      </c>
      <c r="D707" s="216" t="s">
        <v>1951</v>
      </c>
    </row>
    <row r="708" spans="1:4" ht="50.1" customHeight="1" thickBot="1" x14ac:dyDescent="0.3">
      <c r="A708" t="str">
        <f t="shared" si="11"/>
        <v>47.11.20 Detailhandel med dagligvarer i supermarkeder og købmandsbutikker</v>
      </c>
      <c r="B708" s="215" t="s">
        <v>1952</v>
      </c>
      <c r="C708" s="216" t="s">
        <v>1953</v>
      </c>
      <c r="D708" s="216" t="s">
        <v>1954</v>
      </c>
    </row>
    <row r="709" spans="1:4" ht="50.1" customHeight="1" thickBot="1" x14ac:dyDescent="0.3">
      <c r="A709" t="str">
        <f t="shared" si="11"/>
        <v>47.11.30 Detailhandel med dagligvarer i discountsupermarkeder</v>
      </c>
      <c r="B709" s="215" t="s">
        <v>1955</v>
      </c>
      <c r="C709" s="216" t="s">
        <v>1956</v>
      </c>
      <c r="D709" s="216" t="s">
        <v>1957</v>
      </c>
    </row>
    <row r="710" spans="1:4" ht="50.1" customHeight="1" x14ac:dyDescent="0.25">
      <c r="A710" t="str">
        <f t="shared" si="11"/>
        <v>47.12.00 Anden ikke-specialiseret detailhandel</v>
      </c>
      <c r="B710" s="223" t="s">
        <v>1958</v>
      </c>
      <c r="C710" s="226" t="s">
        <v>1959</v>
      </c>
      <c r="D710" s="217" t="s">
        <v>1960</v>
      </c>
    </row>
    <row r="711" spans="1:4" ht="50.1" customHeight="1" x14ac:dyDescent="0.25">
      <c r="A711" t="str">
        <f t="shared" si="11"/>
        <v xml:space="preserve"> </v>
      </c>
      <c r="B711" s="224"/>
      <c r="C711" s="227"/>
      <c r="D711" s="218"/>
    </row>
    <row r="712" spans="1:4" ht="50.1" customHeight="1" thickBot="1" x14ac:dyDescent="0.3">
      <c r="A712" t="str">
        <f t="shared" si="11"/>
        <v xml:space="preserve"> </v>
      </c>
      <c r="B712" s="225"/>
      <c r="C712" s="228"/>
      <c r="D712" s="219" t="s">
        <v>1961</v>
      </c>
    </row>
    <row r="713" spans="1:4" ht="50.1" customHeight="1" thickBot="1" x14ac:dyDescent="0.3">
      <c r="A713" t="str">
        <f t="shared" si="11"/>
        <v>47.21.00 Detailhandel med frugt og grøntsager</v>
      </c>
      <c r="B713" s="215" t="s">
        <v>1962</v>
      </c>
      <c r="C713" s="216" t="s">
        <v>1963</v>
      </c>
      <c r="D713" s="216" t="s">
        <v>1964</v>
      </c>
    </row>
    <row r="714" spans="1:4" ht="50.1" customHeight="1" x14ac:dyDescent="0.25">
      <c r="A714" t="str">
        <f t="shared" si="11"/>
        <v>47.22.00 Detailhandel med kød og kødprodukter</v>
      </c>
      <c r="B714" s="223" t="s">
        <v>1965</v>
      </c>
      <c r="C714" s="226" t="s">
        <v>1966</v>
      </c>
      <c r="D714" s="217" t="s">
        <v>1967</v>
      </c>
    </row>
    <row r="715" spans="1:4" ht="50.1" customHeight="1" x14ac:dyDescent="0.25">
      <c r="A715" t="str">
        <f t="shared" si="11"/>
        <v xml:space="preserve"> </v>
      </c>
      <c r="B715" s="224"/>
      <c r="C715" s="227"/>
      <c r="D715" s="218"/>
    </row>
    <row r="716" spans="1:4" ht="50.1" customHeight="1" thickBot="1" x14ac:dyDescent="0.3">
      <c r="A716" t="str">
        <f t="shared" si="11"/>
        <v xml:space="preserve"> </v>
      </c>
      <c r="B716" s="225"/>
      <c r="C716" s="228"/>
      <c r="D716" s="219" t="s">
        <v>1968</v>
      </c>
    </row>
    <row r="717" spans="1:4" ht="50.1" customHeight="1" thickBot="1" x14ac:dyDescent="0.3">
      <c r="A717" t="str">
        <f t="shared" si="11"/>
        <v>47.23.00 Detailhandel med fisk, krebsdyr og bløddyr</v>
      </c>
      <c r="B717" s="215" t="s">
        <v>1969</v>
      </c>
      <c r="C717" s="216" t="s">
        <v>1970</v>
      </c>
      <c r="D717" s="216" t="s">
        <v>1971</v>
      </c>
    </row>
    <row r="718" spans="1:4" ht="50.1" customHeight="1" x14ac:dyDescent="0.25">
      <c r="A718" t="str">
        <f t="shared" si="11"/>
        <v>47.24.00 Detailhandel med bagværk og konfekture</v>
      </c>
      <c r="B718" s="223" t="s">
        <v>1972</v>
      </c>
      <c r="C718" s="226" t="s">
        <v>1973</v>
      </c>
      <c r="D718" s="217" t="s">
        <v>1974</v>
      </c>
    </row>
    <row r="719" spans="1:4" ht="50.1" customHeight="1" x14ac:dyDescent="0.25">
      <c r="A719" t="str">
        <f t="shared" si="11"/>
        <v xml:space="preserve"> </v>
      </c>
      <c r="B719" s="224"/>
      <c r="C719" s="227"/>
      <c r="D719" s="218"/>
    </row>
    <row r="720" spans="1:4" ht="50.1" customHeight="1" thickBot="1" x14ac:dyDescent="0.3">
      <c r="A720" t="str">
        <f t="shared" si="11"/>
        <v xml:space="preserve"> </v>
      </c>
      <c r="B720" s="225"/>
      <c r="C720" s="228"/>
      <c r="D720" s="219" t="s">
        <v>1975</v>
      </c>
    </row>
    <row r="721" spans="1:4" ht="50.1" customHeight="1" x14ac:dyDescent="0.25">
      <c r="A721" t="str">
        <f t="shared" si="11"/>
        <v>47.25.00 Detailhandel med drikkevarer</v>
      </c>
      <c r="B721" s="223" t="s">
        <v>1976</v>
      </c>
      <c r="C721" s="226" t="s">
        <v>1977</v>
      </c>
      <c r="D721" s="217" t="s">
        <v>1978</v>
      </c>
    </row>
    <row r="722" spans="1:4" ht="50.1" customHeight="1" x14ac:dyDescent="0.25">
      <c r="A722" t="str">
        <f t="shared" si="11"/>
        <v xml:space="preserve"> </v>
      </c>
      <c r="B722" s="224"/>
      <c r="C722" s="227"/>
      <c r="D722" s="218"/>
    </row>
    <row r="723" spans="1:4" ht="50.1" customHeight="1" thickBot="1" x14ac:dyDescent="0.3">
      <c r="A723" t="str">
        <f t="shared" si="11"/>
        <v xml:space="preserve"> </v>
      </c>
      <c r="B723" s="225"/>
      <c r="C723" s="228"/>
      <c r="D723" s="219" t="s">
        <v>1979</v>
      </c>
    </row>
    <row r="724" spans="1:4" ht="50.1" customHeight="1" thickBot="1" x14ac:dyDescent="0.3">
      <c r="A724" t="str">
        <f t="shared" si="11"/>
        <v>47.26.00 Detailhandel med tobaksvarer</v>
      </c>
      <c r="B724" s="215" t="s">
        <v>1980</v>
      </c>
      <c r="C724" s="216" t="s">
        <v>1981</v>
      </c>
      <c r="D724" s="216" t="s">
        <v>1982</v>
      </c>
    </row>
    <row r="725" spans="1:4" ht="50.1" customHeight="1" thickBot="1" x14ac:dyDescent="0.3">
      <c r="A725" t="str">
        <f t="shared" si="11"/>
        <v>47.27.00 Detailhandel med andre fødevarer</v>
      </c>
      <c r="B725" s="215" t="s">
        <v>1983</v>
      </c>
      <c r="C725" s="216" t="s">
        <v>1984</v>
      </c>
      <c r="D725" s="216" t="s">
        <v>1985</v>
      </c>
    </row>
    <row r="726" spans="1:4" ht="50.1" customHeight="1" x14ac:dyDescent="0.25">
      <c r="A726" t="str">
        <f t="shared" si="11"/>
        <v>47.30.00 Detailhandel med motorbrændstoffer</v>
      </c>
      <c r="B726" s="223" t="s">
        <v>1986</v>
      </c>
      <c r="C726" s="226" t="s">
        <v>1987</v>
      </c>
      <c r="D726" s="217" t="s">
        <v>1988</v>
      </c>
    </row>
    <row r="727" spans="1:4" ht="50.1" customHeight="1" x14ac:dyDescent="0.25">
      <c r="A727" t="str">
        <f t="shared" si="11"/>
        <v xml:space="preserve"> </v>
      </c>
      <c r="B727" s="224"/>
      <c r="C727" s="227"/>
      <c r="D727" s="218"/>
    </row>
    <row r="728" spans="1:4" ht="50.1" customHeight="1" thickBot="1" x14ac:dyDescent="0.3">
      <c r="A728" t="str">
        <f t="shared" si="11"/>
        <v xml:space="preserve"> </v>
      </c>
      <c r="B728" s="225"/>
      <c r="C728" s="228"/>
      <c r="D728" s="219" t="s">
        <v>1989</v>
      </c>
    </row>
    <row r="729" spans="1:4" ht="50.1" customHeight="1" thickBot="1" x14ac:dyDescent="0.3">
      <c r="A729" t="str">
        <f t="shared" si="11"/>
        <v>47.40.00 Detailhandel med informations- og kommunikationsudstyr</v>
      </c>
      <c r="B729" s="215" t="s">
        <v>1990</v>
      </c>
      <c r="C729" s="216" t="s">
        <v>1991</v>
      </c>
      <c r="D729" s="216" t="s">
        <v>1992</v>
      </c>
    </row>
    <row r="730" spans="1:4" ht="50.1" customHeight="1" thickBot="1" x14ac:dyDescent="0.3">
      <c r="A730" t="str">
        <f t="shared" si="11"/>
        <v>47.51.00 Detailhandel med tekstiler</v>
      </c>
      <c r="B730" s="215" t="s">
        <v>1993</v>
      </c>
      <c r="C730" s="216" t="s">
        <v>1994</v>
      </c>
      <c r="D730" s="216" t="s">
        <v>1995</v>
      </c>
    </row>
    <row r="731" spans="1:4" ht="50.1" customHeight="1" thickBot="1" x14ac:dyDescent="0.3">
      <c r="A731" t="str">
        <f t="shared" si="11"/>
        <v>47.52.10 Detailhandel med maling og tapet</v>
      </c>
      <c r="B731" s="215" t="s">
        <v>1996</v>
      </c>
      <c r="C731" s="216" t="s">
        <v>1997</v>
      </c>
      <c r="D731" s="216" t="s">
        <v>1998</v>
      </c>
    </row>
    <row r="732" spans="1:4" ht="50.1" customHeight="1" thickBot="1" x14ac:dyDescent="0.3">
      <c r="A732" t="str">
        <f t="shared" si="11"/>
        <v>47.52.20 Detailhandel med byggematerialer og værktøj</v>
      </c>
      <c r="B732" s="215" t="s">
        <v>1999</v>
      </c>
      <c r="C732" s="216" t="s">
        <v>2000</v>
      </c>
      <c r="D732" s="216" t="s">
        <v>2001</v>
      </c>
    </row>
    <row r="733" spans="1:4" ht="50.1" customHeight="1" thickBot="1" x14ac:dyDescent="0.3">
      <c r="A733" t="str">
        <f t="shared" si="11"/>
        <v>47.53.00 Detailhandel med tæpper, vægbeklædning og gulvbelægning</v>
      </c>
      <c r="B733" s="215" t="s">
        <v>2002</v>
      </c>
      <c r="C733" s="216" t="s">
        <v>2003</v>
      </c>
      <c r="D733" s="216" t="s">
        <v>2004</v>
      </c>
    </row>
    <row r="734" spans="1:4" ht="50.1" customHeight="1" x14ac:dyDescent="0.25">
      <c r="A734" t="str">
        <f t="shared" si="11"/>
        <v>47.54.00 Detailhandel med elektriske husholdningsapparater</v>
      </c>
      <c r="B734" s="223" t="s">
        <v>2005</v>
      </c>
      <c r="C734" s="226" t="s">
        <v>2006</v>
      </c>
      <c r="D734" s="217" t="s">
        <v>2007</v>
      </c>
    </row>
    <row r="735" spans="1:4" ht="50.1" customHeight="1" x14ac:dyDescent="0.25">
      <c r="A735" t="str">
        <f t="shared" si="11"/>
        <v xml:space="preserve"> </v>
      </c>
      <c r="B735" s="224"/>
      <c r="C735" s="227"/>
      <c r="D735" s="218"/>
    </row>
    <row r="736" spans="1:4" ht="50.1" customHeight="1" thickBot="1" x14ac:dyDescent="0.3">
      <c r="A736" t="str">
        <f t="shared" si="11"/>
        <v xml:space="preserve"> </v>
      </c>
      <c r="B736" s="225"/>
      <c r="C736" s="228"/>
      <c r="D736" s="219" t="s">
        <v>2008</v>
      </c>
    </row>
    <row r="737" spans="1:4" ht="50.1" customHeight="1" x14ac:dyDescent="0.25">
      <c r="A737" t="str">
        <f t="shared" si="11"/>
        <v>47.55.10 Detailhandel med møbler</v>
      </c>
      <c r="B737" s="223" t="s">
        <v>2009</v>
      </c>
      <c r="C737" s="226" t="s">
        <v>2010</v>
      </c>
      <c r="D737" s="217" t="s">
        <v>2011</v>
      </c>
    </row>
    <row r="738" spans="1:4" ht="50.1" customHeight="1" x14ac:dyDescent="0.25">
      <c r="A738" t="str">
        <f t="shared" si="11"/>
        <v xml:space="preserve"> </v>
      </c>
      <c r="B738" s="224"/>
      <c r="C738" s="227"/>
      <c r="D738" s="218"/>
    </row>
    <row r="739" spans="1:4" ht="50.1" customHeight="1" thickBot="1" x14ac:dyDescent="0.3">
      <c r="A739" t="str">
        <f t="shared" si="11"/>
        <v xml:space="preserve"> </v>
      </c>
      <c r="B739" s="225"/>
      <c r="C739" s="228"/>
      <c r="D739" s="219" t="s">
        <v>2012</v>
      </c>
    </row>
    <row r="740" spans="1:4" ht="50.1" customHeight="1" x14ac:dyDescent="0.25">
      <c r="A740" t="str">
        <f t="shared" si="11"/>
        <v>47.55.20 Detailhandel med bad- og køkkenelementer mv.</v>
      </c>
      <c r="B740" s="223" t="s">
        <v>2013</v>
      </c>
      <c r="C740" s="226" t="s">
        <v>2014</v>
      </c>
      <c r="D740" s="217" t="s">
        <v>2015</v>
      </c>
    </row>
    <row r="741" spans="1:4" ht="50.1" customHeight="1" x14ac:dyDescent="0.25">
      <c r="A741" t="str">
        <f t="shared" si="11"/>
        <v xml:space="preserve"> </v>
      </c>
      <c r="B741" s="224"/>
      <c r="C741" s="227"/>
      <c r="D741" s="218"/>
    </row>
    <row r="742" spans="1:4" ht="50.1" customHeight="1" thickBot="1" x14ac:dyDescent="0.3">
      <c r="A742" t="str">
        <f t="shared" si="11"/>
        <v xml:space="preserve"> </v>
      </c>
      <c r="B742" s="225"/>
      <c r="C742" s="228"/>
      <c r="D742" s="219" t="s">
        <v>2016</v>
      </c>
    </row>
    <row r="743" spans="1:4" ht="50.1" customHeight="1" thickBot="1" x14ac:dyDescent="0.3">
      <c r="A743" t="str">
        <f t="shared" si="11"/>
        <v>47.55.30 Detailhandel med køkkenudstyr og service mv.</v>
      </c>
      <c r="B743" s="215" t="s">
        <v>2017</v>
      </c>
      <c r="C743" s="216" t="s">
        <v>2018</v>
      </c>
      <c r="D743" s="216" t="s">
        <v>2019</v>
      </c>
    </row>
    <row r="744" spans="1:4" ht="50.1" customHeight="1" x14ac:dyDescent="0.25">
      <c r="A744" t="str">
        <f t="shared" si="11"/>
        <v>47.55.90 Detailhandel med boligtekstiler, belysnings- og husholdningsartikler i.a.n.</v>
      </c>
      <c r="B744" s="223" t="s">
        <v>2020</v>
      </c>
      <c r="C744" s="226" t="s">
        <v>2021</v>
      </c>
      <c r="D744" s="217" t="s">
        <v>2022</v>
      </c>
    </row>
    <row r="745" spans="1:4" ht="50.1" customHeight="1" x14ac:dyDescent="0.25">
      <c r="A745" t="str">
        <f t="shared" si="11"/>
        <v xml:space="preserve"> </v>
      </c>
      <c r="B745" s="224"/>
      <c r="C745" s="227"/>
      <c r="D745" s="218"/>
    </row>
    <row r="746" spans="1:4" ht="50.1" customHeight="1" thickBot="1" x14ac:dyDescent="0.3">
      <c r="A746" t="str">
        <f t="shared" si="11"/>
        <v xml:space="preserve"> </v>
      </c>
      <c r="B746" s="225"/>
      <c r="C746" s="228"/>
      <c r="D746" s="219" t="s">
        <v>2023</v>
      </c>
    </row>
    <row r="747" spans="1:4" ht="50.1" customHeight="1" thickBot="1" x14ac:dyDescent="0.3">
      <c r="A747" t="str">
        <f t="shared" si="11"/>
        <v>47.61.00 Detailhandel med bøger</v>
      </c>
      <c r="B747" s="215" t="s">
        <v>2024</v>
      </c>
      <c r="C747" s="216" t="s">
        <v>2025</v>
      </c>
      <c r="D747" s="216" t="s">
        <v>2026</v>
      </c>
    </row>
    <row r="748" spans="1:4" ht="50.1" customHeight="1" thickBot="1" x14ac:dyDescent="0.3">
      <c r="A748" t="str">
        <f t="shared" si="11"/>
        <v>47.62.00 Detailhandel med aviser og andre tidsskrifter samt kontorartikler</v>
      </c>
      <c r="B748" s="215" t="s">
        <v>2027</v>
      </c>
      <c r="C748" s="216" t="s">
        <v>2028</v>
      </c>
      <c r="D748" s="216" t="s">
        <v>2029</v>
      </c>
    </row>
    <row r="749" spans="1:4" ht="50.1" customHeight="1" thickBot="1" x14ac:dyDescent="0.3">
      <c r="A749" t="str">
        <f t="shared" si="11"/>
        <v>47.63.10 Detailhandel med sports- og fritidsudstyr</v>
      </c>
      <c r="B749" s="215" t="s">
        <v>2030</v>
      </c>
      <c r="C749" s="216" t="s">
        <v>2031</v>
      </c>
      <c r="D749" s="216" t="s">
        <v>2032</v>
      </c>
    </row>
    <row r="750" spans="1:4" ht="50.1" customHeight="1" x14ac:dyDescent="0.25">
      <c r="A750" t="str">
        <f t="shared" si="11"/>
        <v>47.63.20 Detailhandel med cykler</v>
      </c>
      <c r="B750" s="223" t="s">
        <v>2033</v>
      </c>
      <c r="C750" s="226" t="s">
        <v>2034</v>
      </c>
      <c r="D750" s="217" t="s">
        <v>2035</v>
      </c>
    </row>
    <row r="751" spans="1:4" ht="50.1" customHeight="1" x14ac:dyDescent="0.25">
      <c r="A751" t="str">
        <f t="shared" si="11"/>
        <v xml:space="preserve"> </v>
      </c>
      <c r="B751" s="224"/>
      <c r="C751" s="227"/>
      <c r="D751" s="218"/>
    </row>
    <row r="752" spans="1:4" ht="50.1" customHeight="1" thickBot="1" x14ac:dyDescent="0.3">
      <c r="A752" t="str">
        <f t="shared" si="11"/>
        <v xml:space="preserve"> </v>
      </c>
      <c r="B752" s="225"/>
      <c r="C752" s="228"/>
      <c r="D752" s="219" t="s">
        <v>2036</v>
      </c>
    </row>
    <row r="753" spans="1:4" ht="50.1" customHeight="1" thickBot="1" x14ac:dyDescent="0.3">
      <c r="A753" t="str">
        <f t="shared" si="11"/>
        <v>47.63.30 Detailhandel med lystbåde og udstyr hertil</v>
      </c>
      <c r="B753" s="215" t="s">
        <v>2037</v>
      </c>
      <c r="C753" s="216" t="s">
        <v>2038</v>
      </c>
      <c r="D753" s="216" t="s">
        <v>2039</v>
      </c>
    </row>
    <row r="754" spans="1:4" ht="50.1" customHeight="1" thickBot="1" x14ac:dyDescent="0.3">
      <c r="A754" t="str">
        <f t="shared" si="11"/>
        <v>47.64.00 Detailhandel med spil og legetøj</v>
      </c>
      <c r="B754" s="215" t="s">
        <v>2040</v>
      </c>
      <c r="C754" s="216" t="s">
        <v>2041</v>
      </c>
      <c r="D754" s="216" t="s">
        <v>2042</v>
      </c>
    </row>
    <row r="755" spans="1:4" ht="50.1" customHeight="1" thickBot="1" x14ac:dyDescent="0.3">
      <c r="A755" t="str">
        <f t="shared" si="11"/>
        <v>47.69.10 Detailhandel med musikinstrumenter</v>
      </c>
      <c r="B755" s="215" t="s">
        <v>2043</v>
      </c>
      <c r="C755" s="216" t="s">
        <v>2044</v>
      </c>
      <c r="D755" s="216" t="s">
        <v>2045</v>
      </c>
    </row>
    <row r="756" spans="1:4" ht="50.1" customHeight="1" thickBot="1" x14ac:dyDescent="0.3">
      <c r="A756" t="str">
        <f t="shared" si="11"/>
        <v>47.69.20 Detailhandel med kunst mv.</v>
      </c>
      <c r="B756" s="215" t="s">
        <v>2046</v>
      </c>
      <c r="C756" s="216" t="s">
        <v>2047</v>
      </c>
      <c r="D756" s="216" t="s">
        <v>2048</v>
      </c>
    </row>
    <row r="757" spans="1:4" ht="50.1" customHeight="1" thickBot="1" x14ac:dyDescent="0.3">
      <c r="A757" t="str">
        <f t="shared" si="11"/>
        <v>47.69.90 Detailhandel med andre kulturelle artikler i.a.n</v>
      </c>
      <c r="B757" s="215" t="s">
        <v>2049</v>
      </c>
      <c r="C757" s="216" t="s">
        <v>2050</v>
      </c>
      <c r="D757" s="216" t="s">
        <v>2051</v>
      </c>
    </row>
    <row r="758" spans="1:4" ht="50.1" customHeight="1" x14ac:dyDescent="0.25">
      <c r="A758" t="str">
        <f t="shared" si="11"/>
        <v>47.71.10 Detailhandel med tøj</v>
      </c>
      <c r="B758" s="223" t="s">
        <v>2052</v>
      </c>
      <c r="C758" s="226" t="s">
        <v>2053</v>
      </c>
      <c r="D758" s="217" t="s">
        <v>2054</v>
      </c>
    </row>
    <row r="759" spans="1:4" ht="50.1" customHeight="1" x14ac:dyDescent="0.25">
      <c r="A759" t="str">
        <f t="shared" si="11"/>
        <v xml:space="preserve"> </v>
      </c>
      <c r="B759" s="224"/>
      <c r="C759" s="227"/>
      <c r="D759" s="218"/>
    </row>
    <row r="760" spans="1:4" ht="50.1" customHeight="1" thickBot="1" x14ac:dyDescent="0.3">
      <c r="A760" t="str">
        <f t="shared" si="11"/>
        <v xml:space="preserve"> </v>
      </c>
      <c r="B760" s="225"/>
      <c r="C760" s="228"/>
      <c r="D760" s="219" t="s">
        <v>2055</v>
      </c>
    </row>
    <row r="761" spans="1:4" ht="50.1" customHeight="1" thickBot="1" x14ac:dyDescent="0.3">
      <c r="A761" t="str">
        <f t="shared" si="11"/>
        <v>47.71.20 Detailhandel med baby- og børnetøj</v>
      </c>
      <c r="B761" s="215" t="s">
        <v>2056</v>
      </c>
      <c r="C761" s="216" t="s">
        <v>2057</v>
      </c>
      <c r="D761" s="216" t="s">
        <v>2058</v>
      </c>
    </row>
    <row r="762" spans="1:4" ht="50.1" customHeight="1" x14ac:dyDescent="0.25">
      <c r="A762" t="str">
        <f t="shared" si="11"/>
        <v>47.72.10 Detailhandel med fodtøj</v>
      </c>
      <c r="B762" s="223" t="s">
        <v>2059</v>
      </c>
      <c r="C762" s="226" t="s">
        <v>2060</v>
      </c>
      <c r="D762" s="217" t="s">
        <v>2061</v>
      </c>
    </row>
    <row r="763" spans="1:4" ht="50.1" customHeight="1" x14ac:dyDescent="0.25">
      <c r="A763" t="str">
        <f t="shared" si="11"/>
        <v xml:space="preserve"> </v>
      </c>
      <c r="B763" s="224"/>
      <c r="C763" s="227"/>
      <c r="D763" s="218"/>
    </row>
    <row r="764" spans="1:4" ht="50.1" customHeight="1" thickBot="1" x14ac:dyDescent="0.3">
      <c r="A764" t="str">
        <f t="shared" si="11"/>
        <v xml:space="preserve"> </v>
      </c>
      <c r="B764" s="225"/>
      <c r="C764" s="228"/>
      <c r="D764" s="219" t="s">
        <v>2062</v>
      </c>
    </row>
    <row r="765" spans="1:4" ht="50.1" customHeight="1" thickBot="1" x14ac:dyDescent="0.3">
      <c r="A765" t="str">
        <f t="shared" si="11"/>
        <v>47.72.20 Detailhandel med lædervarer</v>
      </c>
      <c r="B765" s="215" t="s">
        <v>2063</v>
      </c>
      <c r="C765" s="216" t="s">
        <v>2064</v>
      </c>
      <c r="D765" s="216" t="s">
        <v>2065</v>
      </c>
    </row>
    <row r="766" spans="1:4" ht="50.1" customHeight="1" thickBot="1" x14ac:dyDescent="0.3">
      <c r="A766" t="str">
        <f t="shared" si="11"/>
        <v>47.73.00 Detailhandel med farmaceutiske produkter</v>
      </c>
      <c r="B766" s="215" t="s">
        <v>2066</v>
      </c>
      <c r="C766" s="216" t="s">
        <v>2067</v>
      </c>
      <c r="D766" s="216" t="s">
        <v>2068</v>
      </c>
    </row>
    <row r="767" spans="1:4" ht="50.1" customHeight="1" thickBot="1" x14ac:dyDescent="0.3">
      <c r="A767" t="str">
        <f t="shared" si="11"/>
        <v>47.74.10 Optikeraktiviteter</v>
      </c>
      <c r="B767" s="215" t="s">
        <v>2069</v>
      </c>
      <c r="C767" s="216" t="s">
        <v>2070</v>
      </c>
      <c r="D767" s="216" t="s">
        <v>2071</v>
      </c>
    </row>
    <row r="768" spans="1:4" ht="50.1" customHeight="1" thickBot="1" x14ac:dyDescent="0.3">
      <c r="A768" t="str">
        <f t="shared" si="11"/>
        <v>47.74.20 Detailhandel med andre medicinske og ortopædiske artikler</v>
      </c>
      <c r="B768" s="215" t="s">
        <v>2072</v>
      </c>
      <c r="C768" s="216" t="s">
        <v>2073</v>
      </c>
      <c r="D768" s="216" t="s">
        <v>2074</v>
      </c>
    </row>
    <row r="769" spans="1:4" ht="50.1" customHeight="1" thickBot="1" x14ac:dyDescent="0.3">
      <c r="A769" t="str">
        <f t="shared" si="11"/>
        <v>47.75.00 Detailhandel med kosmetikvarer og toiletartikler</v>
      </c>
      <c r="B769" s="215" t="s">
        <v>2075</v>
      </c>
      <c r="C769" s="216" t="s">
        <v>2076</v>
      </c>
      <c r="D769" s="216" t="s">
        <v>2077</v>
      </c>
    </row>
    <row r="770" spans="1:4" ht="50.1" customHeight="1" thickBot="1" x14ac:dyDescent="0.3">
      <c r="A770" t="str">
        <f t="shared" si="11"/>
        <v>47.76.10 Detailhandel med blomster og planter</v>
      </c>
      <c r="B770" s="215" t="s">
        <v>2078</v>
      </c>
      <c r="C770" s="216" t="s">
        <v>2079</v>
      </c>
      <c r="D770" s="216" t="s">
        <v>2080</v>
      </c>
    </row>
    <row r="771" spans="1:4" ht="50.1" customHeight="1" thickBot="1" x14ac:dyDescent="0.3">
      <c r="A771" t="str">
        <f t="shared" ref="A771:A834" si="12">B771 &amp; " " &amp; C771</f>
        <v>47.76.20 Detailhandel med kæledyr og udstyr til kæledyr</v>
      </c>
      <c r="B771" s="215" t="s">
        <v>2081</v>
      </c>
      <c r="C771" s="216" t="s">
        <v>2082</v>
      </c>
      <c r="D771" s="216" t="s">
        <v>2083</v>
      </c>
    </row>
    <row r="772" spans="1:4" ht="50.1" customHeight="1" x14ac:dyDescent="0.25">
      <c r="A772" t="str">
        <f t="shared" si="12"/>
        <v>47.77.00 Detailhandel med ure og smykker</v>
      </c>
      <c r="B772" s="223" t="s">
        <v>2084</v>
      </c>
      <c r="C772" s="226" t="s">
        <v>2085</v>
      </c>
      <c r="D772" s="217" t="s">
        <v>2086</v>
      </c>
    </row>
    <row r="773" spans="1:4" ht="50.1" customHeight="1" x14ac:dyDescent="0.25">
      <c r="A773" t="str">
        <f t="shared" si="12"/>
        <v xml:space="preserve"> </v>
      </c>
      <c r="B773" s="224"/>
      <c r="C773" s="227"/>
      <c r="D773" s="218"/>
    </row>
    <row r="774" spans="1:4" ht="50.1" customHeight="1" thickBot="1" x14ac:dyDescent="0.3">
      <c r="A774" t="str">
        <f t="shared" si="12"/>
        <v xml:space="preserve"> </v>
      </c>
      <c r="B774" s="225"/>
      <c r="C774" s="228"/>
      <c r="D774" s="219" t="s">
        <v>2087</v>
      </c>
    </row>
    <row r="775" spans="1:4" ht="50.1" customHeight="1" thickBot="1" x14ac:dyDescent="0.3">
      <c r="A775" t="str">
        <f t="shared" si="12"/>
        <v>47.78.00 Detailhandel med andre nye varer</v>
      </c>
      <c r="B775" s="215" t="s">
        <v>2088</v>
      </c>
      <c r="C775" s="216" t="s">
        <v>2089</v>
      </c>
      <c r="D775" s="216" t="s">
        <v>2090</v>
      </c>
    </row>
    <row r="776" spans="1:4" ht="50.1" customHeight="1" x14ac:dyDescent="0.25">
      <c r="A776" t="str">
        <f t="shared" si="12"/>
        <v>47.79.00 Detailhandel med brugte varer</v>
      </c>
      <c r="B776" s="223" t="s">
        <v>2091</v>
      </c>
      <c r="C776" s="226" t="s">
        <v>2092</v>
      </c>
      <c r="D776" s="217" t="s">
        <v>2093</v>
      </c>
    </row>
    <row r="777" spans="1:4" ht="50.1" customHeight="1" x14ac:dyDescent="0.25">
      <c r="A777" t="str">
        <f t="shared" si="12"/>
        <v xml:space="preserve"> </v>
      </c>
      <c r="B777" s="224"/>
      <c r="C777" s="227"/>
      <c r="D777" s="218"/>
    </row>
    <row r="778" spans="1:4" ht="50.1" customHeight="1" thickBot="1" x14ac:dyDescent="0.3">
      <c r="A778" t="str">
        <f t="shared" si="12"/>
        <v xml:space="preserve"> </v>
      </c>
      <c r="B778" s="225"/>
      <c r="C778" s="228"/>
      <c r="D778" s="219" t="s">
        <v>2094</v>
      </c>
    </row>
    <row r="779" spans="1:4" ht="50.1" customHeight="1" thickBot="1" x14ac:dyDescent="0.3">
      <c r="A779" t="str">
        <f t="shared" si="12"/>
        <v>47.81.00 Detailhandel med motorkøretøjer</v>
      </c>
      <c r="B779" s="215" t="s">
        <v>2095</v>
      </c>
      <c r="C779" s="216" t="s">
        <v>2096</v>
      </c>
      <c r="D779" s="216" t="s">
        <v>2097</v>
      </c>
    </row>
    <row r="780" spans="1:4" ht="50.1" customHeight="1" thickBot="1" x14ac:dyDescent="0.3">
      <c r="A780" t="str">
        <f t="shared" si="12"/>
        <v>47.82.00 Detailhandel med reservedele og tilbehør til motorkøretøjer</v>
      </c>
      <c r="B780" s="215" t="s">
        <v>2098</v>
      </c>
      <c r="C780" s="216" t="s">
        <v>2099</v>
      </c>
      <c r="D780" s="216" t="s">
        <v>2100</v>
      </c>
    </row>
    <row r="781" spans="1:4" ht="50.1" customHeight="1" thickBot="1" x14ac:dyDescent="0.3">
      <c r="A781" t="str">
        <f t="shared" si="12"/>
        <v>47.83.00 Detailhandel med motorcykler samt reservedele og tilbehør dertil</v>
      </c>
      <c r="B781" s="215" t="s">
        <v>2101</v>
      </c>
      <c r="C781" s="216" t="s">
        <v>2102</v>
      </c>
      <c r="D781" s="216" t="s">
        <v>2103</v>
      </c>
    </row>
    <row r="782" spans="1:4" ht="50.1" customHeight="1" thickBot="1" x14ac:dyDescent="0.3">
      <c r="A782" t="str">
        <f t="shared" si="12"/>
        <v>47.91.00 Formidlingsaktiviteter inden for ikke-specialiseret detailhandel</v>
      </c>
      <c r="B782" s="215" t="s">
        <v>2104</v>
      </c>
      <c r="C782" s="216" t="s">
        <v>2105</v>
      </c>
      <c r="D782" s="216" t="s">
        <v>2106</v>
      </c>
    </row>
    <row r="783" spans="1:4" ht="50.1" customHeight="1" thickBot="1" x14ac:dyDescent="0.3">
      <c r="A783" t="str">
        <f t="shared" si="12"/>
        <v>47.92.00 Formidlingsaktiviteter inden for specialiseret detailhandel</v>
      </c>
      <c r="B783" s="215" t="s">
        <v>2107</v>
      </c>
      <c r="C783" s="216" t="s">
        <v>2108</v>
      </c>
      <c r="D783" s="216" t="s">
        <v>2109</v>
      </c>
    </row>
    <row r="784" spans="1:4" ht="50.1" customHeight="1" x14ac:dyDescent="0.25">
      <c r="A784" t="str">
        <f t="shared" si="12"/>
        <v>49.11.00 Persontransport med regional- eller fjerntog</v>
      </c>
      <c r="B784" s="223" t="s">
        <v>2110</v>
      </c>
      <c r="C784" s="226" t="s">
        <v>2111</v>
      </c>
      <c r="D784" s="217" t="s">
        <v>2112</v>
      </c>
    </row>
    <row r="785" spans="1:4" ht="50.1" customHeight="1" x14ac:dyDescent="0.25">
      <c r="A785" t="str">
        <f t="shared" si="12"/>
        <v xml:space="preserve"> </v>
      </c>
      <c r="B785" s="224"/>
      <c r="C785" s="227"/>
      <c r="D785" s="218"/>
    </row>
    <row r="786" spans="1:4" ht="50.1" customHeight="1" thickBot="1" x14ac:dyDescent="0.3">
      <c r="A786" t="str">
        <f t="shared" si="12"/>
        <v xml:space="preserve"> </v>
      </c>
      <c r="B786" s="225"/>
      <c r="C786" s="228"/>
      <c r="D786" s="219" t="s">
        <v>2113</v>
      </c>
    </row>
    <row r="787" spans="1:4" ht="50.1" customHeight="1" thickBot="1" x14ac:dyDescent="0.3">
      <c r="A787" t="str">
        <f t="shared" si="12"/>
        <v>49.12.00 Persontransport med nærbane</v>
      </c>
      <c r="B787" s="215" t="s">
        <v>2114</v>
      </c>
      <c r="C787" s="216" t="s">
        <v>2115</v>
      </c>
      <c r="D787" s="216" t="s">
        <v>2116</v>
      </c>
    </row>
    <row r="788" spans="1:4" ht="50.1" customHeight="1" x14ac:dyDescent="0.25">
      <c r="A788" t="str">
        <f t="shared" si="12"/>
        <v>49.20.00 Godstransport med tog</v>
      </c>
      <c r="B788" s="223" t="s">
        <v>2117</v>
      </c>
      <c r="C788" s="226" t="s">
        <v>2118</v>
      </c>
      <c r="D788" s="217" t="s">
        <v>2119</v>
      </c>
    </row>
    <row r="789" spans="1:4" ht="50.1" customHeight="1" x14ac:dyDescent="0.25">
      <c r="A789" t="str">
        <f t="shared" si="12"/>
        <v xml:space="preserve"> </v>
      </c>
      <c r="B789" s="224"/>
      <c r="C789" s="227"/>
      <c r="D789" s="218"/>
    </row>
    <row r="790" spans="1:4" ht="50.1" customHeight="1" thickBot="1" x14ac:dyDescent="0.3">
      <c r="A790" t="str">
        <f t="shared" si="12"/>
        <v xml:space="preserve"> </v>
      </c>
      <c r="B790" s="225"/>
      <c r="C790" s="228"/>
      <c r="D790" s="219" t="s">
        <v>2120</v>
      </c>
    </row>
    <row r="791" spans="1:4" ht="50.1" customHeight="1" thickBot="1" x14ac:dyDescent="0.3">
      <c r="A791" t="str">
        <f t="shared" si="12"/>
        <v>49.31.00 Passagertransport ad vej med fast køreplan</v>
      </c>
      <c r="B791" s="215" t="s">
        <v>2121</v>
      </c>
      <c r="C791" s="216" t="s">
        <v>2122</v>
      </c>
      <c r="D791" s="216" t="s">
        <v>2123</v>
      </c>
    </row>
    <row r="792" spans="1:4" ht="50.1" customHeight="1" x14ac:dyDescent="0.25">
      <c r="A792" t="str">
        <f t="shared" si="12"/>
        <v>49.32.00 Passagertransport ad vej uden fast køreplan</v>
      </c>
      <c r="B792" s="223" t="s">
        <v>2124</v>
      </c>
      <c r="C792" s="226" t="s">
        <v>2125</v>
      </c>
      <c r="D792" s="217" t="s">
        <v>2126</v>
      </c>
    </row>
    <row r="793" spans="1:4" ht="50.1" customHeight="1" x14ac:dyDescent="0.25">
      <c r="A793" t="str">
        <f t="shared" si="12"/>
        <v xml:space="preserve"> </v>
      </c>
      <c r="B793" s="224"/>
      <c r="C793" s="227"/>
      <c r="D793" s="218"/>
    </row>
    <row r="794" spans="1:4" ht="50.1" customHeight="1" thickBot="1" x14ac:dyDescent="0.3">
      <c r="A794" t="str">
        <f t="shared" si="12"/>
        <v xml:space="preserve"> </v>
      </c>
      <c r="B794" s="225"/>
      <c r="C794" s="228"/>
      <c r="D794" s="219" t="s">
        <v>2127</v>
      </c>
    </row>
    <row r="795" spans="1:4" ht="50.1" customHeight="1" thickBot="1" x14ac:dyDescent="0.3">
      <c r="A795" t="str">
        <f t="shared" si="12"/>
        <v>49.33.00 Passagertransport på bestilling i køretøj med chauffør</v>
      </c>
      <c r="B795" s="215" t="s">
        <v>2128</v>
      </c>
      <c r="C795" s="216" t="s">
        <v>2129</v>
      </c>
      <c r="D795" s="216" t="s">
        <v>2130</v>
      </c>
    </row>
    <row r="796" spans="1:4" ht="50.1" customHeight="1" thickBot="1" x14ac:dyDescent="0.3">
      <c r="A796" t="str">
        <f t="shared" si="12"/>
        <v>49.34.00 Passagertransport med tovbaner og skilifter</v>
      </c>
      <c r="B796" s="215" t="s">
        <v>2131</v>
      </c>
      <c r="C796" s="216" t="s">
        <v>2132</v>
      </c>
      <c r="D796" s="216" t="s">
        <v>2133</v>
      </c>
    </row>
    <row r="797" spans="1:4" ht="50.1" customHeight="1" thickBot="1" x14ac:dyDescent="0.3">
      <c r="A797" t="str">
        <f t="shared" si="12"/>
        <v>49.39.00 Anden landpassagertransport i.a.n.</v>
      </c>
      <c r="B797" s="215" t="s">
        <v>2134</v>
      </c>
      <c r="C797" s="216" t="s">
        <v>2135</v>
      </c>
      <c r="D797" s="216" t="s">
        <v>2136</v>
      </c>
    </row>
    <row r="798" spans="1:4" ht="50.1" customHeight="1" x14ac:dyDescent="0.25">
      <c r="A798" t="str">
        <f t="shared" si="12"/>
        <v>49.41.00 Vejgodstransport</v>
      </c>
      <c r="B798" s="223" t="s">
        <v>2137</v>
      </c>
      <c r="C798" s="226" t="s">
        <v>2138</v>
      </c>
      <c r="D798" s="217" t="s">
        <v>2139</v>
      </c>
    </row>
    <row r="799" spans="1:4" ht="50.1" customHeight="1" x14ac:dyDescent="0.25">
      <c r="A799" t="str">
        <f t="shared" si="12"/>
        <v xml:space="preserve"> </v>
      </c>
      <c r="B799" s="224"/>
      <c r="C799" s="227"/>
      <c r="D799" s="218"/>
    </row>
    <row r="800" spans="1:4" ht="50.1" customHeight="1" thickBot="1" x14ac:dyDescent="0.3">
      <c r="A800" t="str">
        <f t="shared" si="12"/>
        <v xml:space="preserve"> </v>
      </c>
      <c r="B800" s="225"/>
      <c r="C800" s="228"/>
      <c r="D800" s="219" t="s">
        <v>2140</v>
      </c>
    </row>
    <row r="801" spans="1:4" ht="50.1" customHeight="1" thickBot="1" x14ac:dyDescent="0.3">
      <c r="A801" t="str">
        <f t="shared" si="12"/>
        <v>49.42.00 Flytteaktiviteter</v>
      </c>
      <c r="B801" s="215" t="s">
        <v>2141</v>
      </c>
      <c r="C801" s="216" t="s">
        <v>2142</v>
      </c>
      <c r="D801" s="216" t="s">
        <v>2143</v>
      </c>
    </row>
    <row r="802" spans="1:4" ht="50.1" customHeight="1" x14ac:dyDescent="0.25">
      <c r="A802" t="str">
        <f t="shared" si="12"/>
        <v>49.50.00 Rørtransport</v>
      </c>
      <c r="B802" s="223" t="s">
        <v>2144</v>
      </c>
      <c r="C802" s="226" t="s">
        <v>2145</v>
      </c>
      <c r="D802" s="217" t="s">
        <v>2146</v>
      </c>
    </row>
    <row r="803" spans="1:4" ht="50.1" customHeight="1" x14ac:dyDescent="0.25">
      <c r="A803" t="str">
        <f t="shared" si="12"/>
        <v xml:space="preserve"> </v>
      </c>
      <c r="B803" s="224"/>
      <c r="C803" s="227"/>
      <c r="D803" s="218"/>
    </row>
    <row r="804" spans="1:4" ht="50.1" customHeight="1" thickBot="1" x14ac:dyDescent="0.3">
      <c r="A804" t="str">
        <f t="shared" si="12"/>
        <v xml:space="preserve"> </v>
      </c>
      <c r="B804" s="225"/>
      <c r="C804" s="228"/>
      <c r="D804" s="219" t="s">
        <v>2147</v>
      </c>
    </row>
    <row r="805" spans="1:4" ht="50.1" customHeight="1" thickBot="1" x14ac:dyDescent="0.3">
      <c r="A805" t="str">
        <f t="shared" si="12"/>
        <v>50.10.00 Sø- og kysttransport af passagerer</v>
      </c>
      <c r="B805" s="215" t="s">
        <v>2148</v>
      </c>
      <c r="C805" s="216" t="s">
        <v>2149</v>
      </c>
      <c r="D805" s="216" t="s">
        <v>2150</v>
      </c>
    </row>
    <row r="806" spans="1:4" ht="50.1" customHeight="1" thickBot="1" x14ac:dyDescent="0.3">
      <c r="A806" t="str">
        <f t="shared" si="12"/>
        <v>50.20.00 Sø- og kysttransport af gods</v>
      </c>
      <c r="B806" s="215" t="s">
        <v>2151</v>
      </c>
      <c r="C806" s="216" t="s">
        <v>2152</v>
      </c>
      <c r="D806" s="216" t="s">
        <v>2153</v>
      </c>
    </row>
    <row r="807" spans="1:4" ht="50.1" customHeight="1" thickBot="1" x14ac:dyDescent="0.3">
      <c r="A807" t="str">
        <f t="shared" si="12"/>
        <v>50.30.00 Transport af passagerer ad indre vandveje</v>
      </c>
      <c r="B807" s="215" t="s">
        <v>2154</v>
      </c>
      <c r="C807" s="216" t="s">
        <v>2155</v>
      </c>
      <c r="D807" s="216" t="s">
        <v>2156</v>
      </c>
    </row>
    <row r="808" spans="1:4" ht="50.1" customHeight="1" thickBot="1" x14ac:dyDescent="0.3">
      <c r="A808" t="str">
        <f t="shared" si="12"/>
        <v>50.40.00 Transport af gods ad indre vandveje</v>
      </c>
      <c r="B808" s="215" t="s">
        <v>2157</v>
      </c>
      <c r="C808" s="216" t="s">
        <v>2158</v>
      </c>
      <c r="D808" s="216" t="s">
        <v>2159</v>
      </c>
    </row>
    <row r="809" spans="1:4" ht="50.1" customHeight="1" thickBot="1" x14ac:dyDescent="0.3">
      <c r="A809" t="str">
        <f t="shared" si="12"/>
        <v>51.10.10 Passagertransport med rutefly</v>
      </c>
      <c r="B809" s="215" t="s">
        <v>2160</v>
      </c>
      <c r="C809" s="216" t="s">
        <v>2161</v>
      </c>
      <c r="D809" s="216" t="s">
        <v>2162</v>
      </c>
    </row>
    <row r="810" spans="1:4" ht="50.1" customHeight="1" thickBot="1" x14ac:dyDescent="0.3">
      <c r="A810" t="str">
        <f t="shared" si="12"/>
        <v>51.10.20 Passagertransport med charter- og taxifly</v>
      </c>
      <c r="B810" s="215" t="s">
        <v>2163</v>
      </c>
      <c r="C810" s="216" t="s">
        <v>2164</v>
      </c>
      <c r="D810" s="216" t="s">
        <v>2165</v>
      </c>
    </row>
    <row r="811" spans="1:4" ht="50.1" customHeight="1" thickBot="1" x14ac:dyDescent="0.3">
      <c r="A811" t="str">
        <f t="shared" si="12"/>
        <v>51.21.00 Lufttransport af gods</v>
      </c>
      <c r="B811" s="215" t="s">
        <v>2166</v>
      </c>
      <c r="C811" s="216" t="s">
        <v>2167</v>
      </c>
      <c r="D811" s="216" t="s">
        <v>2168</v>
      </c>
    </row>
    <row r="812" spans="1:4" ht="50.1" customHeight="1" thickBot="1" x14ac:dyDescent="0.3">
      <c r="A812" t="str">
        <f t="shared" si="12"/>
        <v>51.22.00 Rumfart</v>
      </c>
      <c r="B812" s="215" t="s">
        <v>2169</v>
      </c>
      <c r="C812" s="216" t="s">
        <v>2170</v>
      </c>
      <c r="D812" s="216" t="s">
        <v>2171</v>
      </c>
    </row>
    <row r="813" spans="1:4" ht="50.1" customHeight="1" x14ac:dyDescent="0.25">
      <c r="A813" t="str">
        <f t="shared" si="12"/>
        <v>52.10.00 Oplagring og opbevaring</v>
      </c>
      <c r="B813" s="223" t="s">
        <v>2172</v>
      </c>
      <c r="C813" s="226" t="s">
        <v>2173</v>
      </c>
      <c r="D813" s="217" t="s">
        <v>2174</v>
      </c>
    </row>
    <row r="814" spans="1:4" ht="50.1" customHeight="1" x14ac:dyDescent="0.25">
      <c r="A814" t="str">
        <f t="shared" si="12"/>
        <v xml:space="preserve"> </v>
      </c>
      <c r="B814" s="224"/>
      <c r="C814" s="227"/>
      <c r="D814" s="218"/>
    </row>
    <row r="815" spans="1:4" ht="50.1" customHeight="1" thickBot="1" x14ac:dyDescent="0.3">
      <c r="A815" t="str">
        <f t="shared" si="12"/>
        <v xml:space="preserve"> </v>
      </c>
      <c r="B815" s="225"/>
      <c r="C815" s="228"/>
      <c r="D815" s="219" t="s">
        <v>2175</v>
      </c>
    </row>
    <row r="816" spans="1:4" ht="50.1" customHeight="1" x14ac:dyDescent="0.25">
      <c r="A816" t="str">
        <f t="shared" si="12"/>
        <v>52.21.10 Drift af stationer, godsterminaler mv.</v>
      </c>
      <c r="B816" s="223" t="s">
        <v>2176</v>
      </c>
      <c r="C816" s="226" t="s">
        <v>2177</v>
      </c>
      <c r="D816" s="217" t="s">
        <v>2178</v>
      </c>
    </row>
    <row r="817" spans="1:4" ht="50.1" customHeight="1" x14ac:dyDescent="0.25">
      <c r="A817" t="str">
        <f t="shared" si="12"/>
        <v xml:space="preserve"> </v>
      </c>
      <c r="B817" s="224"/>
      <c r="C817" s="227"/>
      <c r="D817" s="218"/>
    </row>
    <row r="818" spans="1:4" ht="50.1" customHeight="1" thickBot="1" x14ac:dyDescent="0.3">
      <c r="A818" t="str">
        <f t="shared" si="12"/>
        <v xml:space="preserve"> </v>
      </c>
      <c r="B818" s="225"/>
      <c r="C818" s="228"/>
      <c r="D818" s="219" t="s">
        <v>2179</v>
      </c>
    </row>
    <row r="819" spans="1:4" ht="50.1" customHeight="1" thickBot="1" x14ac:dyDescent="0.3">
      <c r="A819" t="str">
        <f t="shared" si="12"/>
        <v>52.21.20 Drift af parkering og vejhjælp mv.</v>
      </c>
      <c r="B819" s="215" t="s">
        <v>2180</v>
      </c>
      <c r="C819" s="216" t="s">
        <v>2181</v>
      </c>
      <c r="D819" s="216" t="s">
        <v>2182</v>
      </c>
    </row>
    <row r="820" spans="1:4" ht="50.1" customHeight="1" x14ac:dyDescent="0.25">
      <c r="A820" t="str">
        <f t="shared" si="12"/>
        <v>52.21.30 Drift af betalingsveje, -broer og -tunneler</v>
      </c>
      <c r="B820" s="223" t="s">
        <v>2183</v>
      </c>
      <c r="C820" s="226" t="s">
        <v>2184</v>
      </c>
      <c r="D820" s="217" t="s">
        <v>2185</v>
      </c>
    </row>
    <row r="821" spans="1:4" ht="50.1" customHeight="1" x14ac:dyDescent="0.25">
      <c r="A821" t="str">
        <f t="shared" si="12"/>
        <v xml:space="preserve"> </v>
      </c>
      <c r="B821" s="224"/>
      <c r="C821" s="227"/>
      <c r="D821" s="218"/>
    </row>
    <row r="822" spans="1:4" ht="50.1" customHeight="1" thickBot="1" x14ac:dyDescent="0.3">
      <c r="A822" t="str">
        <f t="shared" si="12"/>
        <v xml:space="preserve"> </v>
      </c>
      <c r="B822" s="225"/>
      <c r="C822" s="228"/>
      <c r="D822" s="219" t="s">
        <v>2186</v>
      </c>
    </row>
    <row r="823" spans="1:4" ht="50.1" customHeight="1" x14ac:dyDescent="0.25">
      <c r="A823" t="str">
        <f t="shared" si="12"/>
        <v>52.22.10 Drift af erhvervshavne</v>
      </c>
      <c r="B823" s="223" t="s">
        <v>2187</v>
      </c>
      <c r="C823" s="226" t="s">
        <v>2188</v>
      </c>
      <c r="D823" s="217" t="s">
        <v>2189</v>
      </c>
    </row>
    <row r="824" spans="1:4" ht="50.1" customHeight="1" x14ac:dyDescent="0.25">
      <c r="A824" t="str">
        <f t="shared" si="12"/>
        <v xml:space="preserve"> </v>
      </c>
      <c r="B824" s="224"/>
      <c r="C824" s="227"/>
      <c r="D824" s="218"/>
    </row>
    <row r="825" spans="1:4" ht="50.1" customHeight="1" thickBot="1" x14ac:dyDescent="0.3">
      <c r="A825" t="str">
        <f t="shared" si="12"/>
        <v xml:space="preserve"> </v>
      </c>
      <c r="B825" s="225"/>
      <c r="C825" s="228"/>
      <c r="D825" s="219" t="s">
        <v>2190</v>
      </c>
    </row>
    <row r="826" spans="1:4" ht="50.1" customHeight="1" thickBot="1" x14ac:dyDescent="0.3">
      <c r="A826" t="str">
        <f t="shared" si="12"/>
        <v>52.22.20 Drift af bugserings-, bjærgnings- og redningsvæsen mv.</v>
      </c>
      <c r="B826" s="215" t="s">
        <v>2191</v>
      </c>
      <c r="C826" s="216" t="s">
        <v>2192</v>
      </c>
      <c r="D826" s="216" t="s">
        <v>2193</v>
      </c>
    </row>
    <row r="827" spans="1:4" ht="50.1" customHeight="1" thickBot="1" x14ac:dyDescent="0.3">
      <c r="A827" t="str">
        <f t="shared" si="12"/>
        <v>52.23.00 Serviceydelser i forbindelse med luftfart</v>
      </c>
      <c r="B827" s="215" t="s">
        <v>2194</v>
      </c>
      <c r="C827" s="216" t="s">
        <v>2195</v>
      </c>
      <c r="D827" s="216" t="s">
        <v>2196</v>
      </c>
    </row>
    <row r="828" spans="1:4" ht="50.1" customHeight="1" thickBot="1" x14ac:dyDescent="0.3">
      <c r="A828" t="str">
        <f t="shared" si="12"/>
        <v>52.24.00 Godshåndtering</v>
      </c>
      <c r="B828" s="215" t="s">
        <v>2197</v>
      </c>
      <c r="C828" s="216" t="s">
        <v>2198</v>
      </c>
      <c r="D828" s="216" t="s">
        <v>2199</v>
      </c>
    </row>
    <row r="829" spans="1:4" ht="50.1" customHeight="1" x14ac:dyDescent="0.25">
      <c r="A829" t="str">
        <f t="shared" si="12"/>
        <v>52.25.00 Serviceydelser i forbindelse med logistik</v>
      </c>
      <c r="B829" s="223" t="s">
        <v>2200</v>
      </c>
      <c r="C829" s="226" t="s">
        <v>2201</v>
      </c>
      <c r="D829" s="217" t="s">
        <v>2202</v>
      </c>
    </row>
    <row r="830" spans="1:4" ht="50.1" customHeight="1" x14ac:dyDescent="0.25">
      <c r="A830" t="str">
        <f t="shared" si="12"/>
        <v xml:space="preserve"> </v>
      </c>
      <c r="B830" s="224"/>
      <c r="C830" s="227"/>
      <c r="D830" s="218"/>
    </row>
    <row r="831" spans="1:4" ht="50.1" customHeight="1" thickBot="1" x14ac:dyDescent="0.3">
      <c r="A831" t="str">
        <f t="shared" si="12"/>
        <v xml:space="preserve"> </v>
      </c>
      <c r="B831" s="225"/>
      <c r="C831" s="228"/>
      <c r="D831" s="219" t="s">
        <v>2203</v>
      </c>
    </row>
    <row r="832" spans="1:4" ht="50.1" customHeight="1" thickBot="1" x14ac:dyDescent="0.3">
      <c r="A832" t="str">
        <f t="shared" si="12"/>
        <v>52.26.00 Andre støtteaktiviteter i forbindelse med transport</v>
      </c>
      <c r="B832" s="215" t="s">
        <v>2204</v>
      </c>
      <c r="C832" s="216" t="s">
        <v>2205</v>
      </c>
      <c r="D832" s="216" t="s">
        <v>2206</v>
      </c>
    </row>
    <row r="833" spans="1:4" ht="50.1" customHeight="1" thickBot="1" x14ac:dyDescent="0.3">
      <c r="A833" t="str">
        <f t="shared" si="12"/>
        <v>52.31.00 Formidlingsaktiviteter inden for godstransport</v>
      </c>
      <c r="B833" s="215" t="s">
        <v>2207</v>
      </c>
      <c r="C833" s="216" t="s">
        <v>2208</v>
      </c>
      <c r="D833" s="216" t="s">
        <v>2209</v>
      </c>
    </row>
    <row r="834" spans="1:4" ht="50.1" customHeight="1" thickBot="1" x14ac:dyDescent="0.3">
      <c r="A834" t="str">
        <f t="shared" si="12"/>
        <v>52.32.00 Formidlingsaktiviteter inden for passagertransport</v>
      </c>
      <c r="B834" s="215" t="s">
        <v>2210</v>
      </c>
      <c r="C834" s="216" t="s">
        <v>2211</v>
      </c>
      <c r="D834" s="216" t="s">
        <v>2212</v>
      </c>
    </row>
    <row r="835" spans="1:4" ht="50.1" customHeight="1" thickBot="1" x14ac:dyDescent="0.3">
      <c r="A835" t="str">
        <f t="shared" ref="A835:A898" si="13">B835 &amp; " " &amp; C835</f>
        <v>53.10.00 Postaktiviteter omfattet af forsyningspligten</v>
      </c>
      <c r="B835" s="215" t="s">
        <v>2213</v>
      </c>
      <c r="C835" s="216" t="s">
        <v>2214</v>
      </c>
      <c r="D835" s="216" t="s">
        <v>2215</v>
      </c>
    </row>
    <row r="836" spans="1:4" ht="50.1" customHeight="1" thickBot="1" x14ac:dyDescent="0.3">
      <c r="A836" t="str">
        <f t="shared" si="13"/>
        <v>53.20.00 Andre post- og kuréraktiviteter</v>
      </c>
      <c r="B836" s="215" t="s">
        <v>2216</v>
      </c>
      <c r="C836" s="216" t="s">
        <v>2217</v>
      </c>
      <c r="D836" s="216" t="s">
        <v>2218</v>
      </c>
    </row>
    <row r="837" spans="1:4" ht="50.1" customHeight="1" x14ac:dyDescent="0.25">
      <c r="A837" t="str">
        <f t="shared" si="13"/>
        <v>53.30.00 Formidlingsaktiviteter inden for post- og kuréraktiviteter</v>
      </c>
      <c r="B837" s="223" t="s">
        <v>2219</v>
      </c>
      <c r="C837" s="226" t="s">
        <v>2220</v>
      </c>
      <c r="D837" s="217" t="s">
        <v>2221</v>
      </c>
    </row>
    <row r="838" spans="1:4" ht="50.1" customHeight="1" x14ac:dyDescent="0.25">
      <c r="A838" t="str">
        <f t="shared" si="13"/>
        <v xml:space="preserve"> </v>
      </c>
      <c r="B838" s="224"/>
      <c r="C838" s="227"/>
      <c r="D838" s="218"/>
    </row>
    <row r="839" spans="1:4" ht="50.1" customHeight="1" thickBot="1" x14ac:dyDescent="0.3">
      <c r="A839" t="str">
        <f t="shared" si="13"/>
        <v xml:space="preserve"> </v>
      </c>
      <c r="B839" s="225"/>
      <c r="C839" s="228"/>
      <c r="D839" s="219" t="s">
        <v>2222</v>
      </c>
    </row>
    <row r="840" spans="1:4" ht="50.1" customHeight="1" x14ac:dyDescent="0.25">
      <c r="A840" t="str">
        <f t="shared" si="13"/>
        <v>55.10.00 Drift af hoteller og lignende overnatningsfaciliteter</v>
      </c>
      <c r="B840" s="223" t="s">
        <v>2223</v>
      </c>
      <c r="C840" s="226" t="s">
        <v>2224</v>
      </c>
      <c r="D840" s="217" t="s">
        <v>2225</v>
      </c>
    </row>
    <row r="841" spans="1:4" ht="50.1" customHeight="1" x14ac:dyDescent="0.25">
      <c r="A841" t="str">
        <f t="shared" si="13"/>
        <v xml:space="preserve"> </v>
      </c>
      <c r="B841" s="224"/>
      <c r="C841" s="227"/>
      <c r="D841" s="218"/>
    </row>
    <row r="842" spans="1:4" ht="50.1" customHeight="1" thickBot="1" x14ac:dyDescent="0.3">
      <c r="A842" t="str">
        <f t="shared" si="13"/>
        <v xml:space="preserve"> </v>
      </c>
      <c r="B842" s="225"/>
      <c r="C842" s="228"/>
      <c r="D842" s="219" t="s">
        <v>2226</v>
      </c>
    </row>
    <row r="843" spans="1:4" ht="50.1" customHeight="1" thickBot="1" x14ac:dyDescent="0.3">
      <c r="A843" t="str">
        <f t="shared" si="13"/>
        <v>55.20.00 Drift af ferieboliger og andre overnatningsfaciliteter til kortvarige ophold</v>
      </c>
      <c r="B843" s="215" t="s">
        <v>2227</v>
      </c>
      <c r="C843" s="216" t="s">
        <v>2228</v>
      </c>
      <c r="D843" s="216" t="s">
        <v>2229</v>
      </c>
    </row>
    <row r="844" spans="1:4" ht="50.1" customHeight="1" thickBot="1" x14ac:dyDescent="0.3">
      <c r="A844" t="str">
        <f t="shared" si="13"/>
        <v>55.30.00 Drift af campingpladser</v>
      </c>
      <c r="B844" s="215" t="s">
        <v>2230</v>
      </c>
      <c r="C844" s="216" t="s">
        <v>2231</v>
      </c>
      <c r="D844" s="216" t="s">
        <v>2232</v>
      </c>
    </row>
    <row r="845" spans="1:4" ht="50.1" customHeight="1" thickBot="1" x14ac:dyDescent="0.3">
      <c r="A845" t="str">
        <f t="shared" si="13"/>
        <v>55.40.00 Formidlingsaktiviteter inden for overnatningsfaciliteter</v>
      </c>
      <c r="B845" s="215" t="s">
        <v>2233</v>
      </c>
      <c r="C845" s="216" t="s">
        <v>2234</v>
      </c>
      <c r="D845" s="216" t="s">
        <v>2235</v>
      </c>
    </row>
    <row r="846" spans="1:4" ht="50.1" customHeight="1" thickBot="1" x14ac:dyDescent="0.3">
      <c r="A846" t="str">
        <f t="shared" si="13"/>
        <v>55.90.00 Andre overnatningsfaciliteter</v>
      </c>
      <c r="B846" s="215" t="s">
        <v>2236</v>
      </c>
      <c r="C846" s="216" t="s">
        <v>2237</v>
      </c>
      <c r="D846" s="216" t="s">
        <v>2238</v>
      </c>
    </row>
    <row r="847" spans="1:4" ht="50.1" customHeight="1" x14ac:dyDescent="0.25">
      <c r="A847" t="str">
        <f t="shared" si="13"/>
        <v>56.11.10 Servering af mad i restauranter og caféer</v>
      </c>
      <c r="B847" s="223" t="s">
        <v>2239</v>
      </c>
      <c r="C847" s="226" t="s">
        <v>2240</v>
      </c>
      <c r="D847" s="217" t="s">
        <v>2241</v>
      </c>
    </row>
    <row r="848" spans="1:4" ht="50.1" customHeight="1" x14ac:dyDescent="0.25">
      <c r="A848" t="str">
        <f t="shared" si="13"/>
        <v xml:space="preserve"> </v>
      </c>
      <c r="B848" s="224"/>
      <c r="C848" s="227"/>
      <c r="D848" s="218"/>
    </row>
    <row r="849" spans="1:4" ht="50.1" customHeight="1" thickBot="1" x14ac:dyDescent="0.3">
      <c r="A849" t="str">
        <f t="shared" si="13"/>
        <v xml:space="preserve"> </v>
      </c>
      <c r="B849" s="225"/>
      <c r="C849" s="228"/>
      <c r="D849" s="219" t="s">
        <v>2242</v>
      </c>
    </row>
    <row r="850" spans="1:4" ht="50.1" customHeight="1" x14ac:dyDescent="0.25">
      <c r="A850" t="str">
        <f t="shared" si="13"/>
        <v>56.11.90 Drift af øvrige spisesteder</v>
      </c>
      <c r="B850" s="223" t="s">
        <v>2243</v>
      </c>
      <c r="C850" s="226" t="s">
        <v>2244</v>
      </c>
      <c r="D850" s="217" t="s">
        <v>2245</v>
      </c>
    </row>
    <row r="851" spans="1:4" ht="50.1" customHeight="1" x14ac:dyDescent="0.25">
      <c r="A851" t="str">
        <f t="shared" si="13"/>
        <v xml:space="preserve"> </v>
      </c>
      <c r="B851" s="224"/>
      <c r="C851" s="227"/>
      <c r="D851" s="218"/>
    </row>
    <row r="852" spans="1:4" ht="50.1" customHeight="1" thickBot="1" x14ac:dyDescent="0.3">
      <c r="A852" t="str">
        <f t="shared" si="13"/>
        <v xml:space="preserve"> </v>
      </c>
      <c r="B852" s="225"/>
      <c r="C852" s="228"/>
      <c r="D852" s="219" t="s">
        <v>2246</v>
      </c>
    </row>
    <row r="853" spans="1:4" ht="50.1" customHeight="1" x14ac:dyDescent="0.25">
      <c r="A853" t="str">
        <f t="shared" si="13"/>
        <v>56.12.00 Drift af mobile madboder</v>
      </c>
      <c r="B853" s="223" t="s">
        <v>2247</v>
      </c>
      <c r="C853" s="226" t="s">
        <v>2248</v>
      </c>
      <c r="D853" s="217" t="s">
        <v>2249</v>
      </c>
    </row>
    <row r="854" spans="1:4" ht="50.1" customHeight="1" x14ac:dyDescent="0.25">
      <c r="A854" t="str">
        <f t="shared" si="13"/>
        <v xml:space="preserve"> </v>
      </c>
      <c r="B854" s="224"/>
      <c r="C854" s="227"/>
      <c r="D854" s="218"/>
    </row>
    <row r="855" spans="1:4" ht="50.1" customHeight="1" thickBot="1" x14ac:dyDescent="0.3">
      <c r="A855" t="str">
        <f t="shared" si="13"/>
        <v xml:space="preserve"> </v>
      </c>
      <c r="B855" s="225"/>
      <c r="C855" s="228"/>
      <c r="D855" s="219" t="s">
        <v>2250</v>
      </c>
    </row>
    <row r="856" spans="1:4" ht="50.1" customHeight="1" x14ac:dyDescent="0.25">
      <c r="A856" t="str">
        <f t="shared" si="13"/>
        <v>56.21.00 Event catering</v>
      </c>
      <c r="B856" s="223" t="s">
        <v>2251</v>
      </c>
      <c r="C856" s="226" t="s">
        <v>2252</v>
      </c>
      <c r="D856" s="217" t="s">
        <v>2253</v>
      </c>
    </row>
    <row r="857" spans="1:4" ht="50.1" customHeight="1" x14ac:dyDescent="0.25">
      <c r="A857" t="str">
        <f t="shared" si="13"/>
        <v xml:space="preserve"> </v>
      </c>
      <c r="B857" s="224"/>
      <c r="C857" s="227"/>
      <c r="D857" s="218"/>
    </row>
    <row r="858" spans="1:4" ht="50.1" customHeight="1" thickBot="1" x14ac:dyDescent="0.3">
      <c r="A858" t="str">
        <f t="shared" si="13"/>
        <v xml:space="preserve"> </v>
      </c>
      <c r="B858" s="225"/>
      <c r="C858" s="228"/>
      <c r="D858" s="219" t="s">
        <v>2254</v>
      </c>
    </row>
    <row r="859" spans="1:4" ht="50.1" customHeight="1" thickBot="1" x14ac:dyDescent="0.3">
      <c r="A859" t="str">
        <f t="shared" si="13"/>
        <v>56.22.00 Catering på kontrakt og andre restaurationsaktiviteter</v>
      </c>
      <c r="B859" s="215" t="s">
        <v>2255</v>
      </c>
      <c r="C859" s="216" t="s">
        <v>2256</v>
      </c>
      <c r="D859" s="216" t="s">
        <v>2257</v>
      </c>
    </row>
    <row r="860" spans="1:4" ht="50.1" customHeight="1" thickBot="1" x14ac:dyDescent="0.3">
      <c r="A860" t="str">
        <f t="shared" si="13"/>
        <v>56.30.10 Udskænkning af ikke-alkoholiske drikkevarer</v>
      </c>
      <c r="B860" s="215" t="s">
        <v>2258</v>
      </c>
      <c r="C860" s="216" t="s">
        <v>2259</v>
      </c>
      <c r="D860" s="216" t="s">
        <v>2260</v>
      </c>
    </row>
    <row r="861" spans="1:4" ht="50.1" customHeight="1" thickBot="1" x14ac:dyDescent="0.3">
      <c r="A861" t="str">
        <f t="shared" si="13"/>
        <v>56.30.20 Udskænkning af alkoholiske drikkevarer</v>
      </c>
      <c r="B861" s="215" t="s">
        <v>2261</v>
      </c>
      <c r="C861" s="216" t="s">
        <v>2262</v>
      </c>
      <c r="D861" s="216" t="s">
        <v>2263</v>
      </c>
    </row>
    <row r="862" spans="1:4" ht="50.1" customHeight="1" thickBot="1" x14ac:dyDescent="0.3">
      <c r="A862" t="str">
        <f t="shared" si="13"/>
        <v>56.40.00 Formidlingsaktiviteter i forbindelse med restaurationsaktiviteter</v>
      </c>
      <c r="B862" s="215" t="s">
        <v>2264</v>
      </c>
      <c r="C862" s="216" t="s">
        <v>2265</v>
      </c>
      <c r="D862" s="216" t="s">
        <v>2266</v>
      </c>
    </row>
    <row r="863" spans="1:4" ht="50.1" customHeight="1" x14ac:dyDescent="0.25">
      <c r="A863" t="str">
        <f t="shared" si="13"/>
        <v>58.11.00 Udgivelse af bøger</v>
      </c>
      <c r="B863" s="223" t="s">
        <v>2267</v>
      </c>
      <c r="C863" s="226" t="s">
        <v>2268</v>
      </c>
      <c r="D863" s="217" t="s">
        <v>2269</v>
      </c>
    </row>
    <row r="864" spans="1:4" ht="50.1" customHeight="1" x14ac:dyDescent="0.25">
      <c r="A864" t="str">
        <f t="shared" si="13"/>
        <v xml:space="preserve"> </v>
      </c>
      <c r="B864" s="224"/>
      <c r="C864" s="227"/>
      <c r="D864" s="218"/>
    </row>
    <row r="865" spans="1:4" ht="50.1" customHeight="1" thickBot="1" x14ac:dyDescent="0.3">
      <c r="A865" t="str">
        <f t="shared" si="13"/>
        <v xml:space="preserve"> </v>
      </c>
      <c r="B865" s="225"/>
      <c r="C865" s="228"/>
      <c r="D865" s="219" t="s">
        <v>2270</v>
      </c>
    </row>
    <row r="866" spans="1:4" ht="50.1" customHeight="1" thickBot="1" x14ac:dyDescent="0.3">
      <c r="A866" t="str">
        <f t="shared" si="13"/>
        <v>58.12.00 Udgivelse af aviser og dagblade</v>
      </c>
      <c r="B866" s="215" t="s">
        <v>2271</v>
      </c>
      <c r="C866" s="216" t="s">
        <v>2272</v>
      </c>
      <c r="D866" s="216" t="s">
        <v>2273</v>
      </c>
    </row>
    <row r="867" spans="1:4" ht="50.1" customHeight="1" thickBot="1" x14ac:dyDescent="0.3">
      <c r="A867" t="str">
        <f t="shared" si="13"/>
        <v>58.13.00 Udgivelse af ugeblade og magasiner</v>
      </c>
      <c r="B867" s="215" t="s">
        <v>2274</v>
      </c>
      <c r="C867" s="216" t="s">
        <v>2275</v>
      </c>
      <c r="D867" s="216" t="s">
        <v>2276</v>
      </c>
    </row>
    <row r="868" spans="1:4" ht="50.1" customHeight="1" thickBot="1" x14ac:dyDescent="0.3">
      <c r="A868" t="str">
        <f t="shared" si="13"/>
        <v>58.19.00 Andre udgiveraktiviteter, undtagen udgivelse af software</v>
      </c>
      <c r="B868" s="215" t="s">
        <v>2277</v>
      </c>
      <c r="C868" s="216" t="s">
        <v>2278</v>
      </c>
      <c r="D868" s="216" t="s">
        <v>2279</v>
      </c>
    </row>
    <row r="869" spans="1:4" ht="50.1" customHeight="1" thickBot="1" x14ac:dyDescent="0.3">
      <c r="A869" t="str">
        <f t="shared" si="13"/>
        <v>58.21.00 Udgivelse af videospil</v>
      </c>
      <c r="B869" s="215" t="s">
        <v>2280</v>
      </c>
      <c r="C869" s="216" t="s">
        <v>2281</v>
      </c>
      <c r="D869" s="216" t="s">
        <v>2282</v>
      </c>
    </row>
    <row r="870" spans="1:4" ht="50.1" customHeight="1" x14ac:dyDescent="0.25">
      <c r="A870" t="str">
        <f t="shared" si="13"/>
        <v>58.29.00 Anden udgivelse af software</v>
      </c>
      <c r="B870" s="223" t="s">
        <v>2283</v>
      </c>
      <c r="C870" s="226" t="s">
        <v>2284</v>
      </c>
      <c r="D870" s="217" t="s">
        <v>2285</v>
      </c>
    </row>
    <row r="871" spans="1:4" ht="50.1" customHeight="1" x14ac:dyDescent="0.25">
      <c r="A871" t="str">
        <f t="shared" si="13"/>
        <v xml:space="preserve"> </v>
      </c>
      <c r="B871" s="224"/>
      <c r="C871" s="227"/>
      <c r="D871" s="218"/>
    </row>
    <row r="872" spans="1:4" ht="50.1" customHeight="1" thickBot="1" x14ac:dyDescent="0.3">
      <c r="A872" t="str">
        <f t="shared" si="13"/>
        <v xml:space="preserve"> </v>
      </c>
      <c r="B872" s="225"/>
      <c r="C872" s="228"/>
      <c r="D872" s="219" t="s">
        <v>2286</v>
      </c>
    </row>
    <row r="873" spans="1:4" ht="50.1" customHeight="1" x14ac:dyDescent="0.25">
      <c r="A873" t="str">
        <f t="shared" si="13"/>
        <v>59.11.00 Produktion af film, videoer og TV-programmer</v>
      </c>
      <c r="B873" s="223" t="s">
        <v>2287</v>
      </c>
      <c r="C873" s="226" t="s">
        <v>2288</v>
      </c>
      <c r="D873" s="217" t="s">
        <v>2289</v>
      </c>
    </row>
    <row r="874" spans="1:4" ht="50.1" customHeight="1" x14ac:dyDescent="0.25">
      <c r="A874" t="str">
        <f t="shared" si="13"/>
        <v xml:space="preserve"> </v>
      </c>
      <c r="B874" s="224"/>
      <c r="C874" s="227"/>
      <c r="D874" s="218"/>
    </row>
    <row r="875" spans="1:4" ht="50.1" customHeight="1" thickBot="1" x14ac:dyDescent="0.3">
      <c r="A875" t="str">
        <f t="shared" si="13"/>
        <v xml:space="preserve"> </v>
      </c>
      <c r="B875" s="225"/>
      <c r="C875" s="228"/>
      <c r="D875" s="219" t="s">
        <v>2290</v>
      </c>
    </row>
    <row r="876" spans="1:4" ht="50.1" customHeight="1" thickBot="1" x14ac:dyDescent="0.3">
      <c r="A876" t="str">
        <f t="shared" si="13"/>
        <v>59.12.00 Aktiviteter efter produktion af film, videoer og TV-programmer</v>
      </c>
      <c r="B876" s="215" t="s">
        <v>2291</v>
      </c>
      <c r="C876" s="216" t="s">
        <v>2292</v>
      </c>
      <c r="D876" s="216" t="s">
        <v>2293</v>
      </c>
    </row>
    <row r="877" spans="1:4" ht="50.1" customHeight="1" thickBot="1" x14ac:dyDescent="0.3">
      <c r="A877" t="str">
        <f t="shared" si="13"/>
        <v>59.13.00 Distribution af film og videoer</v>
      </c>
      <c r="B877" s="215" t="s">
        <v>2294</v>
      </c>
      <c r="C877" s="216" t="s">
        <v>2295</v>
      </c>
      <c r="D877" s="216" t="s">
        <v>2296</v>
      </c>
    </row>
    <row r="878" spans="1:4" ht="50.1" customHeight="1" thickBot="1" x14ac:dyDescent="0.3">
      <c r="A878" t="str">
        <f t="shared" si="13"/>
        <v>59.14.00 Fremvisning af film og andre billedmedier</v>
      </c>
      <c r="B878" s="215" t="s">
        <v>2297</v>
      </c>
      <c r="C878" s="216" t="s">
        <v>2298</v>
      </c>
      <c r="D878" s="216" t="s">
        <v>2299</v>
      </c>
    </row>
    <row r="879" spans="1:4" ht="50.1" customHeight="1" x14ac:dyDescent="0.25">
      <c r="A879" t="str">
        <f t="shared" si="13"/>
        <v>59.20.00 Indspilning af lydoptagelser og udgivelse af musik</v>
      </c>
      <c r="B879" s="223" t="s">
        <v>2300</v>
      </c>
      <c r="C879" s="226" t="s">
        <v>2301</v>
      </c>
      <c r="D879" s="217" t="s">
        <v>2302</v>
      </c>
    </row>
    <row r="880" spans="1:4" ht="50.1" customHeight="1" x14ac:dyDescent="0.25">
      <c r="A880" t="str">
        <f t="shared" si="13"/>
        <v xml:space="preserve"> </v>
      </c>
      <c r="B880" s="224"/>
      <c r="C880" s="227"/>
      <c r="D880" s="218"/>
    </row>
    <row r="881" spans="1:4" ht="50.1" customHeight="1" thickBot="1" x14ac:dyDescent="0.3">
      <c r="A881" t="str">
        <f t="shared" si="13"/>
        <v xml:space="preserve"> </v>
      </c>
      <c r="B881" s="225"/>
      <c r="C881" s="228"/>
      <c r="D881" s="219" t="s">
        <v>2303</v>
      </c>
    </row>
    <row r="882" spans="1:4" ht="50.1" customHeight="1" thickBot="1" x14ac:dyDescent="0.3">
      <c r="A882" t="str">
        <f t="shared" si="13"/>
        <v>60.10.00 Radioaktiviteter og distribution af lydoptagelser</v>
      </c>
      <c r="B882" s="215" t="s">
        <v>2304</v>
      </c>
      <c r="C882" s="216" t="s">
        <v>2305</v>
      </c>
      <c r="D882" s="216" t="s">
        <v>2306</v>
      </c>
    </row>
    <row r="883" spans="1:4" ht="50.1" customHeight="1" x14ac:dyDescent="0.25">
      <c r="A883" t="str">
        <f t="shared" si="13"/>
        <v>60.20.00 Programskabelse, udgivelse og distribution af billedoptagelser</v>
      </c>
      <c r="B883" s="223" t="s">
        <v>2307</v>
      </c>
      <c r="C883" s="226" t="s">
        <v>2308</v>
      </c>
      <c r="D883" s="217" t="s">
        <v>2309</v>
      </c>
    </row>
    <row r="884" spans="1:4" ht="50.1" customHeight="1" x14ac:dyDescent="0.25">
      <c r="A884" t="str">
        <f t="shared" si="13"/>
        <v xml:space="preserve"> </v>
      </c>
      <c r="B884" s="224"/>
      <c r="C884" s="227"/>
      <c r="D884" s="218"/>
    </row>
    <row r="885" spans="1:4" ht="50.1" customHeight="1" thickBot="1" x14ac:dyDescent="0.3">
      <c r="A885" t="str">
        <f t="shared" si="13"/>
        <v xml:space="preserve"> </v>
      </c>
      <c r="B885" s="225"/>
      <c r="C885" s="228"/>
      <c r="D885" s="219" t="s">
        <v>2310</v>
      </c>
    </row>
    <row r="886" spans="1:4" ht="50.1" customHeight="1" thickBot="1" x14ac:dyDescent="0.3">
      <c r="A886" t="str">
        <f t="shared" si="13"/>
        <v>60.31.00 Nyhedsbureauers aktiviteter</v>
      </c>
      <c r="B886" s="215" t="s">
        <v>2311</v>
      </c>
      <c r="C886" s="216" t="s">
        <v>2312</v>
      </c>
      <c r="D886" s="216" t="s">
        <v>2313</v>
      </c>
    </row>
    <row r="887" spans="1:4" ht="50.1" customHeight="1" x14ac:dyDescent="0.25">
      <c r="A887" t="str">
        <f t="shared" si="13"/>
        <v>60.39.00 Anden distribution af medieindhold</v>
      </c>
      <c r="B887" s="223" t="s">
        <v>2314</v>
      </c>
      <c r="C887" s="226" t="s">
        <v>2315</v>
      </c>
      <c r="D887" s="217" t="s">
        <v>2316</v>
      </c>
    </row>
    <row r="888" spans="1:4" ht="50.1" customHeight="1" x14ac:dyDescent="0.25">
      <c r="A888" t="str">
        <f t="shared" si="13"/>
        <v xml:space="preserve"> </v>
      </c>
      <c r="B888" s="224"/>
      <c r="C888" s="227"/>
      <c r="D888" s="218"/>
    </row>
    <row r="889" spans="1:4" ht="50.1" customHeight="1" thickBot="1" x14ac:dyDescent="0.3">
      <c r="A889" t="str">
        <f t="shared" si="13"/>
        <v xml:space="preserve"> </v>
      </c>
      <c r="B889" s="225"/>
      <c r="C889" s="228"/>
      <c r="D889" s="219" t="s">
        <v>2317</v>
      </c>
    </row>
    <row r="890" spans="1:4" ht="50.1" customHeight="1" x14ac:dyDescent="0.25">
      <c r="A890" t="str">
        <f t="shared" si="13"/>
        <v>61.10.00 Levering af fastnetbaseret, trådløs og satellitbaseret telekommunikation</v>
      </c>
      <c r="B890" s="223" t="s">
        <v>2318</v>
      </c>
      <c r="C890" s="226" t="s">
        <v>2319</v>
      </c>
      <c r="D890" s="217" t="s">
        <v>2320</v>
      </c>
    </row>
    <row r="891" spans="1:4" ht="50.1" customHeight="1" x14ac:dyDescent="0.25">
      <c r="A891" t="str">
        <f t="shared" si="13"/>
        <v xml:space="preserve"> </v>
      </c>
      <c r="B891" s="224"/>
      <c r="C891" s="227"/>
      <c r="D891" s="218"/>
    </row>
    <row r="892" spans="1:4" ht="50.1" customHeight="1" thickBot="1" x14ac:dyDescent="0.3">
      <c r="A892" t="str">
        <f t="shared" si="13"/>
        <v xml:space="preserve"> </v>
      </c>
      <c r="B892" s="225"/>
      <c r="C892" s="228"/>
      <c r="D892" s="219" t="s">
        <v>2321</v>
      </c>
    </row>
    <row r="893" spans="1:4" ht="50.1" customHeight="1" thickBot="1" x14ac:dyDescent="0.3">
      <c r="A893" t="str">
        <f t="shared" si="13"/>
        <v>61.20.00 Videresalg af telekommunikation og formidlingsaktiviteter inden for telekommunikation</v>
      </c>
      <c r="B893" s="215" t="s">
        <v>2322</v>
      </c>
      <c r="C893" s="216" t="s">
        <v>2323</v>
      </c>
      <c r="D893" s="216" t="s">
        <v>2324</v>
      </c>
    </row>
    <row r="894" spans="1:4" ht="50.1" customHeight="1" thickBot="1" x14ac:dyDescent="0.3">
      <c r="A894" t="str">
        <f t="shared" si="13"/>
        <v>61.90.00 Andre telekommunikationsaktiviteter</v>
      </c>
      <c r="B894" s="215" t="s">
        <v>2325</v>
      </c>
      <c r="C894" s="216" t="s">
        <v>2326</v>
      </c>
      <c r="D894" s="216" t="s">
        <v>2327</v>
      </c>
    </row>
    <row r="895" spans="1:4" ht="50.1" customHeight="1" x14ac:dyDescent="0.25">
      <c r="A895" t="str">
        <f t="shared" si="13"/>
        <v>62.10.00 Computerprogrammering</v>
      </c>
      <c r="B895" s="223" t="s">
        <v>2328</v>
      </c>
      <c r="C895" s="226" t="s">
        <v>2329</v>
      </c>
      <c r="D895" s="217" t="s">
        <v>2330</v>
      </c>
    </row>
    <row r="896" spans="1:4" ht="50.1" customHeight="1" x14ac:dyDescent="0.25">
      <c r="A896" t="str">
        <f t="shared" si="13"/>
        <v xml:space="preserve"> </v>
      </c>
      <c r="B896" s="224"/>
      <c r="C896" s="227"/>
      <c r="D896" s="218"/>
    </row>
    <row r="897" spans="1:4" ht="50.1" customHeight="1" thickBot="1" x14ac:dyDescent="0.3">
      <c r="A897" t="str">
        <f t="shared" si="13"/>
        <v xml:space="preserve"> </v>
      </c>
      <c r="B897" s="225"/>
      <c r="C897" s="228"/>
      <c r="D897" s="219" t="s">
        <v>2331</v>
      </c>
    </row>
    <row r="898" spans="1:4" ht="50.1" customHeight="1" thickBot="1" x14ac:dyDescent="0.3">
      <c r="A898" t="str">
        <f t="shared" si="13"/>
        <v>62.20.00 Computerkonsulentbistand og forvaltning af computerfaciliteter</v>
      </c>
      <c r="B898" s="215" t="s">
        <v>2332</v>
      </c>
      <c r="C898" s="216" t="s">
        <v>2333</v>
      </c>
      <c r="D898" s="216" t="s">
        <v>2334</v>
      </c>
    </row>
    <row r="899" spans="1:4" ht="50.1" customHeight="1" thickBot="1" x14ac:dyDescent="0.3">
      <c r="A899" t="str">
        <f t="shared" ref="A899:A962" si="14">B899 &amp; " " &amp; C899</f>
        <v>62.90.00 Andre IT- og computerserviceaktiviteter</v>
      </c>
      <c r="B899" s="215" t="s">
        <v>2335</v>
      </c>
      <c r="C899" s="216" t="s">
        <v>2336</v>
      </c>
      <c r="D899" s="216" t="s">
        <v>2337</v>
      </c>
    </row>
    <row r="900" spans="1:4" ht="50.1" customHeight="1" thickBot="1" x14ac:dyDescent="0.3">
      <c r="A900" t="str">
        <f t="shared" si="14"/>
        <v>63.10.00 IT-infrastruktur, databehandling, hosting og relaterede aktiviteter</v>
      </c>
      <c r="B900" s="215" t="s">
        <v>2338</v>
      </c>
      <c r="C900" s="216" t="s">
        <v>2339</v>
      </c>
      <c r="D900" s="216" t="s">
        <v>2340</v>
      </c>
    </row>
    <row r="901" spans="1:4" ht="50.1" customHeight="1" thickBot="1" x14ac:dyDescent="0.3">
      <c r="A901" t="str">
        <f t="shared" si="14"/>
        <v>63.91.00 Drift af portaler til internettet</v>
      </c>
      <c r="B901" s="215" t="s">
        <v>2341</v>
      </c>
      <c r="C901" s="216" t="s">
        <v>2342</v>
      </c>
      <c r="D901" s="216" t="s">
        <v>2343</v>
      </c>
    </row>
    <row r="902" spans="1:4" ht="50.1" customHeight="1" thickBot="1" x14ac:dyDescent="0.3">
      <c r="A902" t="str">
        <f t="shared" si="14"/>
        <v>63.92.00 Andre informationsaktiviteter</v>
      </c>
      <c r="B902" s="215" t="s">
        <v>2344</v>
      </c>
      <c r="C902" s="216" t="s">
        <v>2345</v>
      </c>
      <c r="D902" s="216" t="s">
        <v>2346</v>
      </c>
    </row>
    <row r="903" spans="1:4" ht="50.1" customHeight="1" thickBot="1" x14ac:dyDescent="0.3">
      <c r="A903" t="str">
        <f t="shared" si="14"/>
        <v>64.11.00 Centralbankers aktiviteter</v>
      </c>
      <c r="B903" s="215" t="s">
        <v>2347</v>
      </c>
      <c r="C903" s="216" t="s">
        <v>2348</v>
      </c>
      <c r="D903" s="216" t="s">
        <v>2349</v>
      </c>
    </row>
    <row r="904" spans="1:4" ht="50.1" customHeight="1" x14ac:dyDescent="0.25">
      <c r="A904" t="str">
        <f t="shared" si="14"/>
        <v>64.19.00 Andre pengeinstitutters aktiviteter</v>
      </c>
      <c r="B904" s="223" t="s">
        <v>2350</v>
      </c>
      <c r="C904" s="226" t="s">
        <v>2351</v>
      </c>
      <c r="D904" s="217" t="s">
        <v>2352</v>
      </c>
    </row>
    <row r="905" spans="1:4" ht="50.1" customHeight="1" x14ac:dyDescent="0.25">
      <c r="A905" t="str">
        <f t="shared" si="14"/>
        <v xml:space="preserve"> </v>
      </c>
      <c r="B905" s="224"/>
      <c r="C905" s="227"/>
      <c r="D905" s="218"/>
    </row>
    <row r="906" spans="1:4" ht="50.1" customHeight="1" thickBot="1" x14ac:dyDescent="0.3">
      <c r="A906" t="str">
        <f t="shared" si="14"/>
        <v xml:space="preserve"> </v>
      </c>
      <c r="B906" s="225"/>
      <c r="C906" s="228"/>
      <c r="D906" s="219" t="s">
        <v>2353</v>
      </c>
    </row>
    <row r="907" spans="1:4" ht="50.1" customHeight="1" x14ac:dyDescent="0.25">
      <c r="A907" t="str">
        <f t="shared" si="14"/>
        <v>64.21.10 Finansielle holdingselskaber</v>
      </c>
      <c r="B907" s="223" t="s">
        <v>2354</v>
      </c>
      <c r="C907" s="226" t="s">
        <v>2355</v>
      </c>
      <c r="D907" s="217" t="s">
        <v>2356</v>
      </c>
    </row>
    <row r="908" spans="1:4" ht="50.1" customHeight="1" x14ac:dyDescent="0.25">
      <c r="A908" t="str">
        <f t="shared" si="14"/>
        <v xml:space="preserve"> </v>
      </c>
      <c r="B908" s="224"/>
      <c r="C908" s="227"/>
      <c r="D908" s="220"/>
    </row>
    <row r="909" spans="1:4" ht="50.1" customHeight="1" x14ac:dyDescent="0.25">
      <c r="A909" t="str">
        <f t="shared" si="14"/>
        <v xml:space="preserve"> </v>
      </c>
      <c r="B909" s="224"/>
      <c r="C909" s="227"/>
      <c r="D909" s="218" t="s">
        <v>2357</v>
      </c>
    </row>
    <row r="910" spans="1:4" ht="50.1" customHeight="1" thickBot="1" x14ac:dyDescent="0.3">
      <c r="A910" t="str">
        <f t="shared" si="14"/>
        <v xml:space="preserve"> </v>
      </c>
      <c r="B910" s="225"/>
      <c r="C910" s="228"/>
      <c r="D910" s="219" t="s">
        <v>2358</v>
      </c>
    </row>
    <row r="911" spans="1:4" ht="50.1" customHeight="1" x14ac:dyDescent="0.25">
      <c r="A911" t="str">
        <f t="shared" si="14"/>
        <v>64.21.20 Ikke-finansielle holdingselskaber</v>
      </c>
      <c r="B911" s="223" t="s">
        <v>2359</v>
      </c>
      <c r="C911" s="226" t="s">
        <v>2360</v>
      </c>
      <c r="D911" s="217" t="s">
        <v>2361</v>
      </c>
    </row>
    <row r="912" spans="1:4" ht="50.1" customHeight="1" x14ac:dyDescent="0.25">
      <c r="A912" t="str">
        <f t="shared" si="14"/>
        <v xml:space="preserve"> </v>
      </c>
      <c r="B912" s="224"/>
      <c r="C912" s="227"/>
      <c r="D912" s="220"/>
    </row>
    <row r="913" spans="1:4" ht="50.1" customHeight="1" x14ac:dyDescent="0.25">
      <c r="A913" t="str">
        <f t="shared" si="14"/>
        <v xml:space="preserve"> </v>
      </c>
      <c r="B913" s="224"/>
      <c r="C913" s="227"/>
      <c r="D913" s="218" t="s">
        <v>2357</v>
      </c>
    </row>
    <row r="914" spans="1:4" ht="50.1" customHeight="1" thickBot="1" x14ac:dyDescent="0.3">
      <c r="A914" t="str">
        <f t="shared" si="14"/>
        <v xml:space="preserve"> </v>
      </c>
      <c r="B914" s="225"/>
      <c r="C914" s="228"/>
      <c r="D914" s="219" t="s">
        <v>2358</v>
      </c>
    </row>
    <row r="915" spans="1:4" ht="50.1" customHeight="1" thickBot="1" x14ac:dyDescent="0.3">
      <c r="A915" t="str">
        <f t="shared" si="14"/>
        <v>64.21.30 Gennemløbsholdingselskaber</v>
      </c>
      <c r="B915" s="215" t="s">
        <v>2362</v>
      </c>
      <c r="C915" s="216" t="s">
        <v>2363</v>
      </c>
      <c r="D915" s="216" t="s">
        <v>2364</v>
      </c>
    </row>
    <row r="916" spans="1:4" ht="50.1" customHeight="1" thickBot="1" x14ac:dyDescent="0.3">
      <c r="A916" t="str">
        <f t="shared" si="14"/>
        <v>64.22.00 Finansielle conduiters aktiviteter</v>
      </c>
      <c r="B916" s="215" t="s">
        <v>2365</v>
      </c>
      <c r="C916" s="216" t="s">
        <v>2366</v>
      </c>
      <c r="D916" s="216" t="s">
        <v>2367</v>
      </c>
    </row>
    <row r="917" spans="1:4" ht="50.1" customHeight="1" thickBot="1" x14ac:dyDescent="0.3">
      <c r="A917" t="str">
        <f t="shared" si="14"/>
        <v>64.31.10 Pengemarkedsfondes aktiviteter</v>
      </c>
      <c r="B917" s="215" t="s">
        <v>2368</v>
      </c>
      <c r="C917" s="216" t="s">
        <v>2369</v>
      </c>
      <c r="D917" s="216" t="s">
        <v>2370</v>
      </c>
    </row>
    <row r="918" spans="1:4" ht="50.1" customHeight="1" thickBot="1" x14ac:dyDescent="0.3">
      <c r="A918" t="str">
        <f t="shared" si="14"/>
        <v>64.31.20 Andre investeringsfondes aktiviteter</v>
      </c>
      <c r="B918" s="215" t="s">
        <v>2371</v>
      </c>
      <c r="C918" s="216" t="s">
        <v>2372</v>
      </c>
      <c r="D918" s="216" t="s">
        <v>2373</v>
      </c>
    </row>
    <row r="919" spans="1:4" ht="50.1" customHeight="1" thickBot="1" x14ac:dyDescent="0.3">
      <c r="A919" t="str">
        <f t="shared" si="14"/>
        <v>64.32.00 Trusters aktiviteter</v>
      </c>
      <c r="B919" s="215" t="s">
        <v>2374</v>
      </c>
      <c r="C919" s="216" t="s">
        <v>2375</v>
      </c>
      <c r="D919" s="216" t="s">
        <v>2376</v>
      </c>
    </row>
    <row r="920" spans="1:4" ht="50.1" customHeight="1" x14ac:dyDescent="0.25">
      <c r="A920" t="str">
        <f t="shared" si="14"/>
        <v>64.91.00 Finansiel leasing</v>
      </c>
      <c r="B920" s="223" t="s">
        <v>2377</v>
      </c>
      <c r="C920" s="226" t="s">
        <v>2378</v>
      </c>
      <c r="D920" s="217" t="s">
        <v>2379</v>
      </c>
    </row>
    <row r="921" spans="1:4" ht="50.1" customHeight="1" x14ac:dyDescent="0.25">
      <c r="A921" t="str">
        <f t="shared" si="14"/>
        <v xml:space="preserve"> </v>
      </c>
      <c r="B921" s="224"/>
      <c r="C921" s="227"/>
      <c r="D921" s="218"/>
    </row>
    <row r="922" spans="1:4" ht="50.1" customHeight="1" thickBot="1" x14ac:dyDescent="0.3">
      <c r="A922" t="str">
        <f t="shared" si="14"/>
        <v xml:space="preserve"> </v>
      </c>
      <c r="B922" s="225"/>
      <c r="C922" s="228"/>
      <c r="D922" s="219" t="s">
        <v>2380</v>
      </c>
    </row>
    <row r="923" spans="1:4" ht="50.1" customHeight="1" thickBot="1" x14ac:dyDescent="0.3">
      <c r="A923" t="str">
        <f t="shared" si="14"/>
        <v>64.92.10 Realkreditinstitutters aktiviteter</v>
      </c>
      <c r="B923" s="215" t="s">
        <v>2381</v>
      </c>
      <c r="C923" s="216" t="s">
        <v>2382</v>
      </c>
      <c r="D923" s="216" t="s">
        <v>2383</v>
      </c>
    </row>
    <row r="924" spans="1:4" ht="50.1" customHeight="1" thickBot="1" x14ac:dyDescent="0.3">
      <c r="A924" t="str">
        <f t="shared" si="14"/>
        <v>64.92.20 Andre kreditinstitutters aktiviteter</v>
      </c>
      <c r="B924" s="215" t="s">
        <v>2384</v>
      </c>
      <c r="C924" s="216" t="s">
        <v>2385</v>
      </c>
      <c r="D924" s="216" t="s">
        <v>2386</v>
      </c>
    </row>
    <row r="925" spans="1:4" ht="50.1" customHeight="1" thickBot="1" x14ac:dyDescent="0.3">
      <c r="A925" t="str">
        <f t="shared" si="14"/>
        <v>64.92.30 Andre kreditselskabers aktiviteter</v>
      </c>
      <c r="B925" s="215" t="s">
        <v>2387</v>
      </c>
      <c r="C925" s="216" t="s">
        <v>2388</v>
      </c>
      <c r="D925" s="216" t="s">
        <v>2389</v>
      </c>
    </row>
    <row r="926" spans="1:4" ht="50.1" customHeight="1" x14ac:dyDescent="0.25">
      <c r="A926" t="str">
        <f t="shared" si="14"/>
        <v>64.99.10 Investering for egen regning</v>
      </c>
      <c r="B926" s="223" t="s">
        <v>2390</v>
      </c>
      <c r="C926" s="226" t="s">
        <v>2391</v>
      </c>
      <c r="D926" s="217" t="s">
        <v>2392</v>
      </c>
    </row>
    <row r="927" spans="1:4" ht="50.1" customHeight="1" x14ac:dyDescent="0.25">
      <c r="A927" t="str">
        <f t="shared" si="14"/>
        <v xml:space="preserve"> </v>
      </c>
      <c r="B927" s="224"/>
      <c r="C927" s="227"/>
      <c r="D927" s="218"/>
    </row>
    <row r="928" spans="1:4" ht="50.1" customHeight="1" thickBot="1" x14ac:dyDescent="0.3">
      <c r="A928" t="str">
        <f t="shared" si="14"/>
        <v xml:space="preserve"> </v>
      </c>
      <c r="B928" s="225"/>
      <c r="C928" s="228"/>
      <c r="D928" s="219" t="s">
        <v>2393</v>
      </c>
    </row>
    <row r="929" spans="1:4" ht="50.1" customHeight="1" thickBot="1" x14ac:dyDescent="0.3">
      <c r="A929" t="str">
        <f t="shared" si="14"/>
        <v>64.99.90 Anden finansiel formidling i.a.n.</v>
      </c>
      <c r="B929" s="215" t="s">
        <v>2394</v>
      </c>
      <c r="C929" s="216" t="s">
        <v>2395</v>
      </c>
      <c r="D929" s="216" t="s">
        <v>2396</v>
      </c>
    </row>
    <row r="930" spans="1:4" ht="50.1" customHeight="1" thickBot="1" x14ac:dyDescent="0.3">
      <c r="A930" t="str">
        <f t="shared" si="14"/>
        <v>65.11.00 Livsforsikring</v>
      </c>
      <c r="B930" s="215" t="s">
        <v>2397</v>
      </c>
      <c r="C930" s="216" t="s">
        <v>2398</v>
      </c>
      <c r="D930" s="216" t="s">
        <v>2399</v>
      </c>
    </row>
    <row r="931" spans="1:4" ht="50.1" customHeight="1" x14ac:dyDescent="0.25">
      <c r="A931" t="str">
        <f t="shared" si="14"/>
        <v>65.12.00 Anden forsikring</v>
      </c>
      <c r="B931" s="223" t="s">
        <v>2400</v>
      </c>
      <c r="C931" s="226" t="s">
        <v>2401</v>
      </c>
      <c r="D931" s="217" t="s">
        <v>2402</v>
      </c>
    </row>
    <row r="932" spans="1:4" ht="50.1" customHeight="1" x14ac:dyDescent="0.25">
      <c r="A932" t="str">
        <f t="shared" si="14"/>
        <v xml:space="preserve"> </v>
      </c>
      <c r="B932" s="224"/>
      <c r="C932" s="227"/>
      <c r="D932" s="218"/>
    </row>
    <row r="933" spans="1:4" ht="50.1" customHeight="1" thickBot="1" x14ac:dyDescent="0.3">
      <c r="A933" t="str">
        <f t="shared" si="14"/>
        <v xml:space="preserve"> </v>
      </c>
      <c r="B933" s="225"/>
      <c r="C933" s="228"/>
      <c r="D933" s="219" t="s">
        <v>2403</v>
      </c>
    </row>
    <row r="934" spans="1:4" ht="50.1" customHeight="1" thickBot="1" x14ac:dyDescent="0.3">
      <c r="A934" t="str">
        <f t="shared" si="14"/>
        <v>65.20.00 Genforsikring</v>
      </c>
      <c r="B934" s="215" t="s">
        <v>2404</v>
      </c>
      <c r="C934" s="216" t="s">
        <v>2405</v>
      </c>
      <c r="D934" s="216" t="s">
        <v>2406</v>
      </c>
    </row>
    <row r="935" spans="1:4" ht="50.1" customHeight="1" thickBot="1" x14ac:dyDescent="0.3">
      <c r="A935" t="str">
        <f t="shared" si="14"/>
        <v>65.30.10 Pensionskassers aktiviteter</v>
      </c>
      <c r="B935" s="215" t="s">
        <v>2407</v>
      </c>
      <c r="C935" s="216" t="s">
        <v>2408</v>
      </c>
      <c r="D935" s="216" t="s">
        <v>2409</v>
      </c>
    </row>
    <row r="936" spans="1:4" ht="50.1" customHeight="1" thickBot="1" x14ac:dyDescent="0.3">
      <c r="A936" t="str">
        <f t="shared" si="14"/>
        <v>65.30.20 Anden pensionsforsikring</v>
      </c>
      <c r="B936" s="215" t="s">
        <v>2410</v>
      </c>
      <c r="C936" s="216" t="s">
        <v>2411</v>
      </c>
      <c r="D936" s="216" t="s">
        <v>2412</v>
      </c>
    </row>
    <row r="937" spans="1:4" ht="50.1" customHeight="1" thickBot="1" x14ac:dyDescent="0.3">
      <c r="A937" t="str">
        <f t="shared" si="14"/>
        <v>66.11.00 Forvaltning af kapitalmarkeder</v>
      </c>
      <c r="B937" s="215" t="s">
        <v>2413</v>
      </c>
      <c r="C937" s="216" t="s">
        <v>2414</v>
      </c>
      <c r="D937" s="216" t="s">
        <v>2415</v>
      </c>
    </row>
    <row r="938" spans="1:4" ht="50.1" customHeight="1" thickBot="1" x14ac:dyDescent="0.3">
      <c r="A938" t="str">
        <f t="shared" si="14"/>
        <v>66.12.00 Værdipapir- og varemægling</v>
      </c>
      <c r="B938" s="215" t="s">
        <v>2416</v>
      </c>
      <c r="C938" s="216" t="s">
        <v>2417</v>
      </c>
      <c r="D938" s="216" t="s">
        <v>2418</v>
      </c>
    </row>
    <row r="939" spans="1:4" ht="50.1" customHeight="1" thickBot="1" x14ac:dyDescent="0.3">
      <c r="A939" t="str">
        <f t="shared" si="14"/>
        <v>66.19.00 Andre aktiviteter i forbindelse med finansielle tjenesteydelser, undtagen forsikring og pensionsforsikring</v>
      </c>
      <c r="B939" s="215" t="s">
        <v>2419</v>
      </c>
      <c r="C939" s="216" t="s">
        <v>2420</v>
      </c>
      <c r="D939" s="216" t="s">
        <v>2421</v>
      </c>
    </row>
    <row r="940" spans="1:4" ht="50.1" customHeight="1" thickBot="1" x14ac:dyDescent="0.3">
      <c r="A940" t="str">
        <f t="shared" si="14"/>
        <v>66.21.00 Risiko- og skadesvurdering</v>
      </c>
      <c r="B940" s="215" t="s">
        <v>2422</v>
      </c>
      <c r="C940" s="216" t="s">
        <v>2423</v>
      </c>
      <c r="D940" s="216" t="s">
        <v>2424</v>
      </c>
    </row>
    <row r="941" spans="1:4" ht="50.1" customHeight="1" thickBot="1" x14ac:dyDescent="0.3">
      <c r="A941" t="str">
        <f t="shared" si="14"/>
        <v>66.22.00 Forsikringsagenters og forsikringsmægleres aktiviteter</v>
      </c>
      <c r="B941" s="215" t="s">
        <v>2425</v>
      </c>
      <c r="C941" s="216" t="s">
        <v>2426</v>
      </c>
      <c r="D941" s="216" t="s">
        <v>2427</v>
      </c>
    </row>
    <row r="942" spans="1:4" ht="50.1" customHeight="1" thickBot="1" x14ac:dyDescent="0.3">
      <c r="A942" t="str">
        <f t="shared" si="14"/>
        <v>66.29.00 Aktiviteter i forbindelse med forsikring og pensionsforsikring i.a.n.</v>
      </c>
      <c r="B942" s="215" t="s">
        <v>2428</v>
      </c>
      <c r="C942" s="216" t="s">
        <v>2429</v>
      </c>
      <c r="D942" s="216" t="s">
        <v>2430</v>
      </c>
    </row>
    <row r="943" spans="1:4" ht="50.1" customHeight="1" x14ac:dyDescent="0.25">
      <c r="A943" t="str">
        <f t="shared" si="14"/>
        <v>66.30.00 Formueforvaltning</v>
      </c>
      <c r="B943" s="223" t="s">
        <v>2431</v>
      </c>
      <c r="C943" s="226" t="s">
        <v>2432</v>
      </c>
      <c r="D943" s="217" t="s">
        <v>2433</v>
      </c>
    </row>
    <row r="944" spans="1:4" ht="50.1" customHeight="1" x14ac:dyDescent="0.25">
      <c r="A944" t="str">
        <f t="shared" si="14"/>
        <v xml:space="preserve"> </v>
      </c>
      <c r="B944" s="224"/>
      <c r="C944" s="227"/>
      <c r="D944" s="218"/>
    </row>
    <row r="945" spans="1:4" ht="50.1" customHeight="1" thickBot="1" x14ac:dyDescent="0.3">
      <c r="A945" t="str">
        <f t="shared" si="14"/>
        <v xml:space="preserve"> </v>
      </c>
      <c r="B945" s="225"/>
      <c r="C945" s="228"/>
      <c r="D945" s="219" t="s">
        <v>2434</v>
      </c>
    </row>
    <row r="946" spans="1:4" ht="50.1" customHeight="1" x14ac:dyDescent="0.25">
      <c r="A946" t="str">
        <f t="shared" si="14"/>
        <v>68.11.00 Køb og salg af egen fast ejendom</v>
      </c>
      <c r="B946" s="223" t="s">
        <v>2435</v>
      </c>
      <c r="C946" s="226" t="s">
        <v>2436</v>
      </c>
      <c r="D946" s="217" t="s">
        <v>2437</v>
      </c>
    </row>
    <row r="947" spans="1:4" ht="50.1" customHeight="1" x14ac:dyDescent="0.25">
      <c r="A947" t="str">
        <f t="shared" si="14"/>
        <v xml:space="preserve"> </v>
      </c>
      <c r="B947" s="224"/>
      <c r="C947" s="227"/>
      <c r="D947" s="218"/>
    </row>
    <row r="948" spans="1:4" ht="50.1" customHeight="1" thickBot="1" x14ac:dyDescent="0.3">
      <c r="A948" t="str">
        <f t="shared" si="14"/>
        <v xml:space="preserve"> </v>
      </c>
      <c r="B948" s="225"/>
      <c r="C948" s="228"/>
      <c r="D948" s="219" t="s">
        <v>2438</v>
      </c>
    </row>
    <row r="949" spans="1:4" ht="50.1" customHeight="1" x14ac:dyDescent="0.25">
      <c r="A949" t="str">
        <f t="shared" si="14"/>
        <v>68.12.00 Gennemførelse af byggeprojekter</v>
      </c>
      <c r="B949" s="223" t="s">
        <v>2439</v>
      </c>
      <c r="C949" s="226" t="s">
        <v>2440</v>
      </c>
      <c r="D949" s="217" t="s">
        <v>2441</v>
      </c>
    </row>
    <row r="950" spans="1:4" ht="50.1" customHeight="1" x14ac:dyDescent="0.25">
      <c r="A950" t="str">
        <f t="shared" si="14"/>
        <v xml:space="preserve"> </v>
      </c>
      <c r="B950" s="224"/>
      <c r="C950" s="227"/>
      <c r="D950" s="218"/>
    </row>
    <row r="951" spans="1:4" ht="50.1" customHeight="1" thickBot="1" x14ac:dyDescent="0.3">
      <c r="A951" t="str">
        <f t="shared" si="14"/>
        <v xml:space="preserve"> </v>
      </c>
      <c r="B951" s="225"/>
      <c r="C951" s="228"/>
      <c r="D951" s="219" t="s">
        <v>2442</v>
      </c>
    </row>
    <row r="952" spans="1:4" ht="50.1" customHeight="1" x14ac:dyDescent="0.25">
      <c r="A952" t="str">
        <f t="shared" si="14"/>
        <v>68.20.10 Udlejning af almennyttige boliger</v>
      </c>
      <c r="B952" s="223" t="s">
        <v>2443</v>
      </c>
      <c r="C952" s="226" t="s">
        <v>2444</v>
      </c>
      <c r="D952" s="217" t="s">
        <v>2445</v>
      </c>
    </row>
    <row r="953" spans="1:4" ht="50.1" customHeight="1" x14ac:dyDescent="0.25">
      <c r="A953" t="str">
        <f t="shared" si="14"/>
        <v xml:space="preserve"> </v>
      </c>
      <c r="B953" s="224"/>
      <c r="C953" s="227"/>
      <c r="D953" s="218"/>
    </row>
    <row r="954" spans="1:4" ht="50.1" customHeight="1" thickBot="1" x14ac:dyDescent="0.3">
      <c r="A954" t="str">
        <f t="shared" si="14"/>
        <v xml:space="preserve"> </v>
      </c>
      <c r="B954" s="225"/>
      <c r="C954" s="228"/>
      <c r="D954" s="219" t="s">
        <v>2446</v>
      </c>
    </row>
    <row r="955" spans="1:4" ht="50.1" customHeight="1" x14ac:dyDescent="0.25">
      <c r="A955" t="str">
        <f t="shared" si="14"/>
        <v>68.20.20 Udlejning af private andelsboliger</v>
      </c>
      <c r="B955" s="223" t="s">
        <v>2447</v>
      </c>
      <c r="C955" s="226" t="s">
        <v>2448</v>
      </c>
      <c r="D955" s="217" t="s">
        <v>2449</v>
      </c>
    </row>
    <row r="956" spans="1:4" ht="50.1" customHeight="1" x14ac:dyDescent="0.25">
      <c r="A956" t="str">
        <f t="shared" si="14"/>
        <v xml:space="preserve"> </v>
      </c>
      <c r="B956" s="224"/>
      <c r="C956" s="227"/>
      <c r="D956" s="218"/>
    </row>
    <row r="957" spans="1:4" ht="50.1" customHeight="1" thickBot="1" x14ac:dyDescent="0.3">
      <c r="A957" t="str">
        <f t="shared" si="14"/>
        <v xml:space="preserve"> </v>
      </c>
      <c r="B957" s="225"/>
      <c r="C957" s="228"/>
      <c r="D957" s="219" t="s">
        <v>2450</v>
      </c>
    </row>
    <row r="958" spans="1:4" ht="50.1" customHeight="1" thickBot="1" x14ac:dyDescent="0.3">
      <c r="A958" t="str">
        <f t="shared" si="14"/>
        <v>68.20.30 Anden udlejning af boliger</v>
      </c>
      <c r="B958" s="215" t="s">
        <v>2451</v>
      </c>
      <c r="C958" s="216" t="s">
        <v>2452</v>
      </c>
      <c r="D958" s="216" t="s">
        <v>2453</v>
      </c>
    </row>
    <row r="959" spans="1:4" ht="50.1" customHeight="1" thickBot="1" x14ac:dyDescent="0.3">
      <c r="A959" t="str">
        <f t="shared" si="14"/>
        <v>68.20.40 Udlejning af erhvervsejendomme</v>
      </c>
      <c r="B959" s="215" t="s">
        <v>2454</v>
      </c>
      <c r="C959" s="216" t="s">
        <v>2455</v>
      </c>
      <c r="D959" s="216" t="s">
        <v>2456</v>
      </c>
    </row>
    <row r="960" spans="1:4" ht="50.1" customHeight="1" x14ac:dyDescent="0.25">
      <c r="A960" t="str">
        <f t="shared" si="14"/>
        <v>68.31.10 Ejendomsmægleres aktiviteter</v>
      </c>
      <c r="B960" s="223" t="s">
        <v>2457</v>
      </c>
      <c r="C960" s="226" t="s">
        <v>2458</v>
      </c>
      <c r="D960" s="217" t="s">
        <v>2459</v>
      </c>
    </row>
    <row r="961" spans="1:4" ht="50.1" customHeight="1" x14ac:dyDescent="0.25">
      <c r="A961" t="str">
        <f t="shared" si="14"/>
        <v xml:space="preserve"> </v>
      </c>
      <c r="B961" s="224"/>
      <c r="C961" s="227"/>
      <c r="D961" s="218"/>
    </row>
    <row r="962" spans="1:4" ht="50.1" customHeight="1" thickBot="1" x14ac:dyDescent="0.3">
      <c r="A962" t="str">
        <f t="shared" si="14"/>
        <v xml:space="preserve"> </v>
      </c>
      <c r="B962" s="225"/>
      <c r="C962" s="228"/>
      <c r="D962" s="219" t="s">
        <v>2460</v>
      </c>
    </row>
    <row r="963" spans="1:4" ht="50.1" customHeight="1" thickBot="1" x14ac:dyDescent="0.3">
      <c r="A963" t="str">
        <f t="shared" ref="A963:A1026" si="15">B963 &amp; " " &amp; C963</f>
        <v>68.31.20 Boliganvisning</v>
      </c>
      <c r="B963" s="215" t="s">
        <v>2461</v>
      </c>
      <c r="C963" s="216" t="s">
        <v>2462</v>
      </c>
      <c r="D963" s="216" t="s">
        <v>2463</v>
      </c>
    </row>
    <row r="964" spans="1:4" ht="50.1" customHeight="1" x14ac:dyDescent="0.25">
      <c r="A964" t="str">
        <f t="shared" si="15"/>
        <v>68.32.10 Administration af fast ejendom på kontraktbasis</v>
      </c>
      <c r="B964" s="223" t="s">
        <v>2464</v>
      </c>
      <c r="C964" s="226" t="s">
        <v>2465</v>
      </c>
      <c r="D964" s="217" t="s">
        <v>2466</v>
      </c>
    </row>
    <row r="965" spans="1:4" ht="50.1" customHeight="1" x14ac:dyDescent="0.25">
      <c r="A965" t="str">
        <f t="shared" si="15"/>
        <v xml:space="preserve"> </v>
      </c>
      <c r="B965" s="224"/>
      <c r="C965" s="227"/>
      <c r="D965" s="218"/>
    </row>
    <row r="966" spans="1:4" ht="50.1" customHeight="1" thickBot="1" x14ac:dyDescent="0.3">
      <c r="A966" t="str">
        <f t="shared" si="15"/>
        <v xml:space="preserve"> </v>
      </c>
      <c r="B966" s="225"/>
      <c r="C966" s="228"/>
      <c r="D966" s="219" t="s">
        <v>2460</v>
      </c>
    </row>
    <row r="967" spans="1:4" ht="50.1" customHeight="1" thickBot="1" x14ac:dyDescent="0.3">
      <c r="A967" t="str">
        <f t="shared" si="15"/>
        <v>68.32.20 Drift af ejerforeninger</v>
      </c>
      <c r="B967" s="215" t="s">
        <v>2467</v>
      </c>
      <c r="C967" s="216" t="s">
        <v>2468</v>
      </c>
      <c r="D967" s="216" t="s">
        <v>2469</v>
      </c>
    </row>
    <row r="968" spans="1:4" ht="50.1" customHeight="1" x14ac:dyDescent="0.25">
      <c r="A968" t="str">
        <f t="shared" si="15"/>
        <v>69.10.00 Juridiske aktiviteter</v>
      </c>
      <c r="B968" s="223" t="s">
        <v>2470</v>
      </c>
      <c r="C968" s="226" t="s">
        <v>2471</v>
      </c>
      <c r="D968" s="217" t="s">
        <v>2472</v>
      </c>
    </row>
    <row r="969" spans="1:4" ht="50.1" customHeight="1" x14ac:dyDescent="0.25">
      <c r="A969" t="str">
        <f t="shared" si="15"/>
        <v xml:space="preserve"> </v>
      </c>
      <c r="B969" s="224"/>
      <c r="C969" s="227"/>
      <c r="D969" s="218"/>
    </row>
    <row r="970" spans="1:4" ht="50.1" customHeight="1" thickBot="1" x14ac:dyDescent="0.3">
      <c r="A970" t="str">
        <f t="shared" si="15"/>
        <v xml:space="preserve"> </v>
      </c>
      <c r="B970" s="225"/>
      <c r="C970" s="228"/>
      <c r="D970" s="219" t="s">
        <v>2473</v>
      </c>
    </row>
    <row r="971" spans="1:4" ht="50.1" customHeight="1" thickBot="1" x14ac:dyDescent="0.3">
      <c r="A971" t="str">
        <f t="shared" si="15"/>
        <v>69.20.00 Bogføring og revision; skatterådgivning</v>
      </c>
      <c r="B971" s="215" t="s">
        <v>2474</v>
      </c>
      <c r="C971" s="216" t="s">
        <v>2475</v>
      </c>
      <c r="D971" s="216" t="s">
        <v>2476</v>
      </c>
    </row>
    <row r="972" spans="1:4" ht="50.1" customHeight="1" thickBot="1" x14ac:dyDescent="0.3">
      <c r="A972" t="str">
        <f t="shared" si="15"/>
        <v>70.10.10 Ikke-finansielle hovedsæders aktiviteter</v>
      </c>
      <c r="B972" s="215" t="s">
        <v>2477</v>
      </c>
      <c r="C972" s="216" t="s">
        <v>2478</v>
      </c>
      <c r="D972" s="216" t="s">
        <v>2479</v>
      </c>
    </row>
    <row r="973" spans="1:4" ht="50.1" customHeight="1" thickBot="1" x14ac:dyDescent="0.3">
      <c r="A973" t="str">
        <f t="shared" si="15"/>
        <v>70.10.20 Finansielle hovedsæders aktiviteter</v>
      </c>
      <c r="B973" s="215" t="s">
        <v>2480</v>
      </c>
      <c r="C973" s="216" t="s">
        <v>2481</v>
      </c>
      <c r="D973" s="216" t="s">
        <v>2482</v>
      </c>
    </row>
    <row r="974" spans="1:4" ht="50.1" customHeight="1" thickBot="1" x14ac:dyDescent="0.3">
      <c r="A974" t="str">
        <f t="shared" si="15"/>
        <v>70.20.00 Virksomhedsrådgivning og anden ledelsesrådgivning</v>
      </c>
      <c r="B974" s="215" t="s">
        <v>2483</v>
      </c>
      <c r="C974" s="216" t="s">
        <v>2484</v>
      </c>
      <c r="D974" s="216" t="s">
        <v>2485</v>
      </c>
    </row>
    <row r="975" spans="1:4" ht="50.1" customHeight="1" thickBot="1" x14ac:dyDescent="0.3">
      <c r="A975" t="str">
        <f t="shared" si="15"/>
        <v>71.11.00 Arkitektaktiviteter</v>
      </c>
      <c r="B975" s="215" t="s">
        <v>2486</v>
      </c>
      <c r="C975" s="216" t="s">
        <v>2487</v>
      </c>
      <c r="D975" s="216" t="s">
        <v>2488</v>
      </c>
    </row>
    <row r="976" spans="1:4" ht="50.1" customHeight="1" thickBot="1" x14ac:dyDescent="0.3">
      <c r="A976" t="str">
        <f t="shared" si="15"/>
        <v>71.12.10 Rådgivende ingeniøraktiviteter inden for byggeri og anlægsarbejder</v>
      </c>
      <c r="B976" s="215" t="s">
        <v>2489</v>
      </c>
      <c r="C976" s="216" t="s">
        <v>2490</v>
      </c>
      <c r="D976" s="216" t="s">
        <v>2491</v>
      </c>
    </row>
    <row r="977" spans="1:4" ht="50.1" customHeight="1" thickBot="1" x14ac:dyDescent="0.3">
      <c r="A977" t="str">
        <f t="shared" si="15"/>
        <v>71.12.20 Rådgivende ingeniøraktiviteter inden for produktions- og maskinteknik</v>
      </c>
      <c r="B977" s="215" t="s">
        <v>2492</v>
      </c>
      <c r="C977" s="216" t="s">
        <v>2493</v>
      </c>
      <c r="D977" s="216" t="s">
        <v>2494</v>
      </c>
    </row>
    <row r="978" spans="1:4" ht="50.1" customHeight="1" x14ac:dyDescent="0.25">
      <c r="A978" t="str">
        <f t="shared" si="15"/>
        <v>71.12.30 Rådgivende ingeniøraktiviteter inden for færdige fabriksanlæg</v>
      </c>
      <c r="B978" s="223" t="s">
        <v>2495</v>
      </c>
      <c r="C978" s="226" t="s">
        <v>2496</v>
      </c>
      <c r="D978" s="217" t="s">
        <v>2497</v>
      </c>
    </row>
    <row r="979" spans="1:4" ht="50.1" customHeight="1" x14ac:dyDescent="0.25">
      <c r="A979" t="str">
        <f t="shared" si="15"/>
        <v xml:space="preserve"> </v>
      </c>
      <c r="B979" s="224"/>
      <c r="C979" s="227"/>
      <c r="D979" s="218"/>
    </row>
    <row r="980" spans="1:4" ht="50.1" customHeight="1" thickBot="1" x14ac:dyDescent="0.3">
      <c r="A980" t="str">
        <f t="shared" si="15"/>
        <v xml:space="preserve"> </v>
      </c>
      <c r="B980" s="225"/>
      <c r="C980" s="228"/>
      <c r="D980" s="219" t="s">
        <v>2442</v>
      </c>
    </row>
    <row r="981" spans="1:4" ht="50.1" customHeight="1" thickBot="1" x14ac:dyDescent="0.3">
      <c r="A981" t="str">
        <f t="shared" si="15"/>
        <v>71.12.40 Geologiske undersøgelser og prospektering, landinspektører mv.</v>
      </c>
      <c r="B981" s="215" t="s">
        <v>2498</v>
      </c>
      <c r="C981" s="216" t="s">
        <v>2499</v>
      </c>
      <c r="D981" s="216" t="s">
        <v>2500</v>
      </c>
    </row>
    <row r="982" spans="1:4" ht="50.1" customHeight="1" thickBot="1" x14ac:dyDescent="0.3">
      <c r="A982" t="str">
        <f t="shared" si="15"/>
        <v>71.12.90 Anden teknisk rådgivning</v>
      </c>
      <c r="B982" s="215" t="s">
        <v>2501</v>
      </c>
      <c r="C982" s="216" t="s">
        <v>2502</v>
      </c>
      <c r="D982" s="216" t="s">
        <v>2503</v>
      </c>
    </row>
    <row r="983" spans="1:4" ht="50.1" customHeight="1" thickBot="1" x14ac:dyDescent="0.3">
      <c r="A983" t="str">
        <f t="shared" si="15"/>
        <v>71.20.10 Kontrol af levnedsmidler</v>
      </c>
      <c r="B983" s="215" t="s">
        <v>2504</v>
      </c>
      <c r="C983" s="216" t="s">
        <v>2505</v>
      </c>
      <c r="D983" s="216" t="s">
        <v>2506</v>
      </c>
    </row>
    <row r="984" spans="1:4" ht="50.1" customHeight="1" thickBot="1" x14ac:dyDescent="0.3">
      <c r="A984" t="str">
        <f t="shared" si="15"/>
        <v>71.20.20 Teknisk afprøvning og kontrol</v>
      </c>
      <c r="B984" s="215" t="s">
        <v>2507</v>
      </c>
      <c r="C984" s="216" t="s">
        <v>2508</v>
      </c>
      <c r="D984" s="216" t="s">
        <v>2509</v>
      </c>
    </row>
    <row r="985" spans="1:4" ht="50.1" customHeight="1" thickBot="1" x14ac:dyDescent="0.3">
      <c r="A985" t="str">
        <f t="shared" si="15"/>
        <v>71.20.90 Anden måling og teknisk analyse</v>
      </c>
      <c r="B985" s="215" t="s">
        <v>2510</v>
      </c>
      <c r="C985" s="216" t="s">
        <v>2511</v>
      </c>
      <c r="D985" s="216" t="s">
        <v>2512</v>
      </c>
    </row>
    <row r="986" spans="1:4" ht="50.1" customHeight="1" thickBot="1" x14ac:dyDescent="0.3">
      <c r="A986" t="str">
        <f t="shared" si="15"/>
        <v>72.10.00 Forskning og eksperimentel udvikling inden for naturvidenskab og teknik</v>
      </c>
      <c r="B986" s="215" t="s">
        <v>2513</v>
      </c>
      <c r="C986" s="216" t="s">
        <v>2514</v>
      </c>
      <c r="D986" s="216" t="s">
        <v>2515</v>
      </c>
    </row>
    <row r="987" spans="1:4" ht="50.1" customHeight="1" thickBot="1" x14ac:dyDescent="0.3">
      <c r="A987" t="str">
        <f t="shared" si="15"/>
        <v>72.20.00 Forskning og eksperimentel udvikling inden for samfundsvidenskab og humanistiske videnskaber</v>
      </c>
      <c r="B987" s="215" t="s">
        <v>2516</v>
      </c>
      <c r="C987" s="216" t="s">
        <v>2517</v>
      </c>
      <c r="D987" s="216" t="s">
        <v>2518</v>
      </c>
    </row>
    <row r="988" spans="1:4" ht="50.1" customHeight="1" thickBot="1" x14ac:dyDescent="0.3">
      <c r="A988" t="str">
        <f t="shared" si="15"/>
        <v>73.11.10 Planlægning og design af reklamekampagner</v>
      </c>
      <c r="B988" s="215" t="s">
        <v>2519</v>
      </c>
      <c r="C988" s="216" t="s">
        <v>2520</v>
      </c>
      <c r="D988" s="216" t="s">
        <v>2521</v>
      </c>
    </row>
    <row r="989" spans="1:4" ht="50.1" customHeight="1" thickBot="1" x14ac:dyDescent="0.3">
      <c r="A989" t="str">
        <f t="shared" si="15"/>
        <v>73.11.90 Andre reklameaktiviteter</v>
      </c>
      <c r="B989" s="215" t="s">
        <v>2522</v>
      </c>
      <c r="C989" s="216" t="s">
        <v>2523</v>
      </c>
      <c r="D989" s="216" t="s">
        <v>2524</v>
      </c>
    </row>
    <row r="990" spans="1:4" ht="50.1" customHeight="1" thickBot="1" x14ac:dyDescent="0.3">
      <c r="A990" t="str">
        <f t="shared" si="15"/>
        <v>73.12.00 Indrykning af reklamer i medier</v>
      </c>
      <c r="B990" s="215" t="s">
        <v>2525</v>
      </c>
      <c r="C990" s="216" t="s">
        <v>2526</v>
      </c>
      <c r="D990" s="216" t="s">
        <v>2527</v>
      </c>
    </row>
    <row r="991" spans="1:4" ht="50.1" customHeight="1" thickBot="1" x14ac:dyDescent="0.3">
      <c r="A991" t="str">
        <f t="shared" si="15"/>
        <v>73.20.00 Markedsanalyse og offentlig meningsmåling</v>
      </c>
      <c r="B991" s="215" t="s">
        <v>2528</v>
      </c>
      <c r="C991" s="216" t="s">
        <v>2529</v>
      </c>
      <c r="D991" s="216" t="s">
        <v>2530</v>
      </c>
    </row>
    <row r="992" spans="1:4" ht="50.1" customHeight="1" thickBot="1" x14ac:dyDescent="0.3">
      <c r="A992" t="str">
        <f t="shared" si="15"/>
        <v>73.30.00 Public relations og kommunikation</v>
      </c>
      <c r="B992" s="215" t="s">
        <v>2531</v>
      </c>
      <c r="C992" s="216" t="s">
        <v>2532</v>
      </c>
      <c r="D992" s="216" t="s">
        <v>2533</v>
      </c>
    </row>
    <row r="993" spans="1:4" ht="50.1" customHeight="1" thickBot="1" x14ac:dyDescent="0.3">
      <c r="A993" t="str">
        <f t="shared" si="15"/>
        <v>74.11.00 Industrielt design og modedesign</v>
      </c>
      <c r="B993" s="215" t="s">
        <v>2534</v>
      </c>
      <c r="C993" s="216" t="s">
        <v>2535</v>
      </c>
      <c r="D993" s="216" t="s">
        <v>2536</v>
      </c>
    </row>
    <row r="994" spans="1:4" ht="50.1" customHeight="1" thickBot="1" x14ac:dyDescent="0.3">
      <c r="A994" t="str">
        <f t="shared" si="15"/>
        <v>74.12.00 Grafisk design og visuel kommunikation</v>
      </c>
      <c r="B994" s="215" t="s">
        <v>2537</v>
      </c>
      <c r="C994" s="216" t="s">
        <v>2538</v>
      </c>
      <c r="D994" s="216" t="s">
        <v>2539</v>
      </c>
    </row>
    <row r="995" spans="1:4" ht="50.1" customHeight="1" thickBot="1" x14ac:dyDescent="0.3">
      <c r="A995" t="str">
        <f t="shared" si="15"/>
        <v>74.13.00 Indretningsaktiviteter</v>
      </c>
      <c r="B995" s="215" t="s">
        <v>2540</v>
      </c>
      <c r="C995" s="216" t="s">
        <v>2541</v>
      </c>
      <c r="D995" s="216" t="s">
        <v>2542</v>
      </c>
    </row>
    <row r="996" spans="1:4" ht="50.1" customHeight="1" thickBot="1" x14ac:dyDescent="0.3">
      <c r="A996" t="str">
        <f t="shared" si="15"/>
        <v>74.14.00 Andet specialiseret designarbejde</v>
      </c>
      <c r="B996" s="215" t="s">
        <v>2543</v>
      </c>
      <c r="C996" s="216" t="s">
        <v>2544</v>
      </c>
      <c r="D996" s="216" t="s">
        <v>2545</v>
      </c>
    </row>
    <row r="997" spans="1:4" ht="50.1" customHeight="1" thickBot="1" x14ac:dyDescent="0.3">
      <c r="A997" t="str">
        <f t="shared" si="15"/>
        <v>74.20.00 Fotografiske aktiviteter</v>
      </c>
      <c r="B997" s="215" t="s">
        <v>2546</v>
      </c>
      <c r="C997" s="216" t="s">
        <v>2547</v>
      </c>
      <c r="D997" s="216" t="s">
        <v>2548</v>
      </c>
    </row>
    <row r="998" spans="1:4" ht="50.1" customHeight="1" thickBot="1" x14ac:dyDescent="0.3">
      <c r="A998" t="str">
        <f t="shared" si="15"/>
        <v>74.30.00 Oversættelse og tolkning</v>
      </c>
      <c r="B998" s="215" t="s">
        <v>2549</v>
      </c>
      <c r="C998" s="216" t="s">
        <v>2550</v>
      </c>
      <c r="D998" s="216" t="s">
        <v>2551</v>
      </c>
    </row>
    <row r="999" spans="1:4" ht="50.1" customHeight="1" thickBot="1" x14ac:dyDescent="0.3">
      <c r="A999" t="str">
        <f t="shared" si="15"/>
        <v>74.91.00 Patentbureauers aktiviteter og tjenesteydelser i forbindelse med markedsføring</v>
      </c>
      <c r="B999" s="215" t="s">
        <v>2552</v>
      </c>
      <c r="C999" s="216" t="s">
        <v>2553</v>
      </c>
      <c r="D999" s="216" t="s">
        <v>2554</v>
      </c>
    </row>
    <row r="1000" spans="1:4" ht="50.1" customHeight="1" thickBot="1" x14ac:dyDescent="0.3">
      <c r="A1000" t="str">
        <f t="shared" si="15"/>
        <v>74.99.10 Landbrugskonsulenters aktiviteter</v>
      </c>
      <c r="B1000" s="215" t="s">
        <v>2555</v>
      </c>
      <c r="C1000" s="216" t="s">
        <v>2556</v>
      </c>
      <c r="D1000" s="216" t="s">
        <v>2557</v>
      </c>
    </row>
    <row r="1001" spans="1:4" ht="50.1" customHeight="1" x14ac:dyDescent="0.25">
      <c r="A1001" t="str">
        <f t="shared" si="15"/>
        <v>74.99.90 Andre liberale, videnskabelige og tekniske tjenesteydelser i.a.n.</v>
      </c>
      <c r="B1001" s="223" t="s">
        <v>2558</v>
      </c>
      <c r="C1001" s="226" t="s">
        <v>2559</v>
      </c>
      <c r="D1001" s="217" t="s">
        <v>2560</v>
      </c>
    </row>
    <row r="1002" spans="1:4" ht="50.1" customHeight="1" x14ac:dyDescent="0.25">
      <c r="A1002" t="str">
        <f t="shared" si="15"/>
        <v xml:space="preserve"> </v>
      </c>
      <c r="B1002" s="224"/>
      <c r="C1002" s="227"/>
      <c r="D1002" s="218"/>
    </row>
    <row r="1003" spans="1:4" ht="50.1" customHeight="1" thickBot="1" x14ac:dyDescent="0.3">
      <c r="A1003" t="str">
        <f t="shared" si="15"/>
        <v xml:space="preserve"> </v>
      </c>
      <c r="B1003" s="225"/>
      <c r="C1003" s="228"/>
      <c r="D1003" s="219" t="s">
        <v>2561</v>
      </c>
    </row>
    <row r="1004" spans="1:4" ht="50.1" customHeight="1" thickBot="1" x14ac:dyDescent="0.3">
      <c r="A1004" t="str">
        <f t="shared" si="15"/>
        <v>75.00.00 Dyrlægeaktiviteter</v>
      </c>
      <c r="B1004" s="215" t="s">
        <v>2562</v>
      </c>
      <c r="C1004" s="216" t="s">
        <v>2563</v>
      </c>
      <c r="D1004" s="216" t="s">
        <v>2564</v>
      </c>
    </row>
    <row r="1005" spans="1:4" ht="50.1" customHeight="1" x14ac:dyDescent="0.25">
      <c r="A1005" t="str">
        <f t="shared" si="15"/>
        <v>77.11.00 Udlejning og leasing af biler og lette motorkøretøjer</v>
      </c>
      <c r="B1005" s="223" t="s">
        <v>2565</v>
      </c>
      <c r="C1005" s="226" t="s">
        <v>2566</v>
      </c>
      <c r="D1005" s="217" t="s">
        <v>2567</v>
      </c>
    </row>
    <row r="1006" spans="1:4" ht="50.1" customHeight="1" x14ac:dyDescent="0.25">
      <c r="A1006" t="str">
        <f t="shared" si="15"/>
        <v xml:space="preserve"> </v>
      </c>
      <c r="B1006" s="224"/>
      <c r="C1006" s="227"/>
      <c r="D1006" s="218"/>
    </row>
    <row r="1007" spans="1:4" ht="50.1" customHeight="1" thickBot="1" x14ac:dyDescent="0.3">
      <c r="A1007" t="str">
        <f t="shared" si="15"/>
        <v xml:space="preserve"> </v>
      </c>
      <c r="B1007" s="225"/>
      <c r="C1007" s="228"/>
      <c r="D1007" s="219" t="s">
        <v>2568</v>
      </c>
    </row>
    <row r="1008" spans="1:4" ht="50.1" customHeight="1" x14ac:dyDescent="0.25">
      <c r="A1008" t="str">
        <f t="shared" si="15"/>
        <v>77.12.00 Udlejning og leasing af lastbiler</v>
      </c>
      <c r="B1008" s="223" t="s">
        <v>2569</v>
      </c>
      <c r="C1008" s="226" t="s">
        <v>2570</v>
      </c>
      <c r="D1008" s="217" t="s">
        <v>2571</v>
      </c>
    </row>
    <row r="1009" spans="1:4" ht="50.1" customHeight="1" x14ac:dyDescent="0.25">
      <c r="A1009" t="str">
        <f t="shared" si="15"/>
        <v xml:space="preserve"> </v>
      </c>
      <c r="B1009" s="224"/>
      <c r="C1009" s="227"/>
      <c r="D1009" s="218"/>
    </row>
    <row r="1010" spans="1:4" ht="50.1" customHeight="1" thickBot="1" x14ac:dyDescent="0.3">
      <c r="A1010" t="str">
        <f t="shared" si="15"/>
        <v xml:space="preserve"> </v>
      </c>
      <c r="B1010" s="225"/>
      <c r="C1010" s="228"/>
      <c r="D1010" s="219" t="s">
        <v>2572</v>
      </c>
    </row>
    <row r="1011" spans="1:4" ht="50.1" customHeight="1" x14ac:dyDescent="0.25">
      <c r="A1011" t="str">
        <f t="shared" si="15"/>
        <v>77.21.00 Udlejning og leasing af varer til fritid og sport</v>
      </c>
      <c r="B1011" s="223" t="s">
        <v>2573</v>
      </c>
      <c r="C1011" s="226" t="s">
        <v>2574</v>
      </c>
      <c r="D1011" s="217" t="s">
        <v>2575</v>
      </c>
    </row>
    <row r="1012" spans="1:4" ht="50.1" customHeight="1" x14ac:dyDescent="0.25">
      <c r="A1012" t="str">
        <f t="shared" si="15"/>
        <v xml:space="preserve"> </v>
      </c>
      <c r="B1012" s="224"/>
      <c r="C1012" s="227"/>
      <c r="D1012" s="218"/>
    </row>
    <row r="1013" spans="1:4" ht="50.1" customHeight="1" thickBot="1" x14ac:dyDescent="0.3">
      <c r="A1013" t="str">
        <f t="shared" si="15"/>
        <v xml:space="preserve"> </v>
      </c>
      <c r="B1013" s="225"/>
      <c r="C1013" s="228"/>
      <c r="D1013" s="219" t="s">
        <v>2576</v>
      </c>
    </row>
    <row r="1014" spans="1:4" ht="50.1" customHeight="1" thickBot="1" x14ac:dyDescent="0.3">
      <c r="A1014" t="str">
        <f t="shared" si="15"/>
        <v>77.22.00 Udlejning og leasing af andre varer til personlig brug og husholdningsbrug</v>
      </c>
      <c r="B1014" s="215" t="s">
        <v>2577</v>
      </c>
      <c r="C1014" s="216" t="s">
        <v>2578</v>
      </c>
      <c r="D1014" s="216" t="s">
        <v>2579</v>
      </c>
    </row>
    <row r="1015" spans="1:4" ht="50.1" customHeight="1" x14ac:dyDescent="0.25">
      <c r="A1015" t="str">
        <f t="shared" si="15"/>
        <v>77.31.00 Udlejning og leasing af landbrugsmaskiner og -udstyr</v>
      </c>
      <c r="B1015" s="223" t="s">
        <v>2580</v>
      </c>
      <c r="C1015" s="226" t="s">
        <v>2581</v>
      </c>
      <c r="D1015" s="217" t="s">
        <v>2582</v>
      </c>
    </row>
    <row r="1016" spans="1:4" ht="50.1" customHeight="1" x14ac:dyDescent="0.25">
      <c r="A1016" t="str">
        <f t="shared" si="15"/>
        <v xml:space="preserve"> </v>
      </c>
      <c r="B1016" s="224"/>
      <c r="C1016" s="227"/>
      <c r="D1016" s="218"/>
    </row>
    <row r="1017" spans="1:4" ht="50.1" customHeight="1" thickBot="1" x14ac:dyDescent="0.3">
      <c r="A1017" t="str">
        <f t="shared" si="15"/>
        <v xml:space="preserve"> </v>
      </c>
      <c r="B1017" s="225"/>
      <c r="C1017" s="228"/>
      <c r="D1017" s="219" t="s">
        <v>2583</v>
      </c>
    </row>
    <row r="1018" spans="1:4" ht="50.1" customHeight="1" x14ac:dyDescent="0.25">
      <c r="A1018" t="str">
        <f t="shared" si="15"/>
        <v>77.32.00 Udlejning og leasing af entreprenørmateriel</v>
      </c>
      <c r="B1018" s="223" t="s">
        <v>2584</v>
      </c>
      <c r="C1018" s="226" t="s">
        <v>2585</v>
      </c>
      <c r="D1018" s="217" t="s">
        <v>2586</v>
      </c>
    </row>
    <row r="1019" spans="1:4" ht="50.1" customHeight="1" x14ac:dyDescent="0.25">
      <c r="A1019" t="str">
        <f t="shared" si="15"/>
        <v xml:space="preserve"> </v>
      </c>
      <c r="B1019" s="224"/>
      <c r="C1019" s="227"/>
      <c r="D1019" s="218"/>
    </row>
    <row r="1020" spans="1:4" ht="50.1" customHeight="1" thickBot="1" x14ac:dyDescent="0.3">
      <c r="A1020" t="str">
        <f t="shared" si="15"/>
        <v xml:space="preserve"> </v>
      </c>
      <c r="B1020" s="225"/>
      <c r="C1020" s="228"/>
      <c r="D1020" s="219" t="s">
        <v>2587</v>
      </c>
    </row>
    <row r="1021" spans="1:4" ht="50.1" customHeight="1" thickBot="1" x14ac:dyDescent="0.3">
      <c r="A1021" t="str">
        <f t="shared" si="15"/>
        <v>77.33.00 Udlejning og leasing af kontormaskiner og -udstyr og computere</v>
      </c>
      <c r="B1021" s="215" t="s">
        <v>2588</v>
      </c>
      <c r="C1021" s="216" t="s">
        <v>2589</v>
      </c>
      <c r="D1021" s="216" t="s">
        <v>2590</v>
      </c>
    </row>
    <row r="1022" spans="1:4" ht="50.1" customHeight="1" x14ac:dyDescent="0.25">
      <c r="A1022" t="str">
        <f t="shared" si="15"/>
        <v>77.34.00 Udlejning og leasing af skibe og både</v>
      </c>
      <c r="B1022" s="223" t="s">
        <v>2591</v>
      </c>
      <c r="C1022" s="226" t="s">
        <v>2592</v>
      </c>
      <c r="D1022" s="217" t="s">
        <v>2593</v>
      </c>
    </row>
    <row r="1023" spans="1:4" ht="50.1" customHeight="1" x14ac:dyDescent="0.25">
      <c r="A1023" t="str">
        <f t="shared" si="15"/>
        <v xml:space="preserve"> </v>
      </c>
      <c r="B1023" s="224"/>
      <c r="C1023" s="227"/>
      <c r="D1023" s="218"/>
    </row>
    <row r="1024" spans="1:4" ht="50.1" customHeight="1" thickBot="1" x14ac:dyDescent="0.3">
      <c r="A1024" t="str">
        <f t="shared" si="15"/>
        <v xml:space="preserve"> </v>
      </c>
      <c r="B1024" s="225"/>
      <c r="C1024" s="228"/>
      <c r="D1024" s="219" t="s">
        <v>2594</v>
      </c>
    </row>
    <row r="1025" spans="1:4" ht="50.1" customHeight="1" x14ac:dyDescent="0.25">
      <c r="A1025" t="str">
        <f t="shared" si="15"/>
        <v>77.35.00 Udlejning og leasing af luftfartøjer</v>
      </c>
      <c r="B1025" s="223" t="s">
        <v>2595</v>
      </c>
      <c r="C1025" s="226" t="s">
        <v>2596</v>
      </c>
      <c r="D1025" s="217" t="s">
        <v>2597</v>
      </c>
    </row>
    <row r="1026" spans="1:4" ht="50.1" customHeight="1" x14ac:dyDescent="0.25">
      <c r="A1026" t="str">
        <f t="shared" si="15"/>
        <v xml:space="preserve"> </v>
      </c>
      <c r="B1026" s="224"/>
      <c r="C1026" s="227"/>
      <c r="D1026" s="218"/>
    </row>
    <row r="1027" spans="1:4" ht="50.1" customHeight="1" thickBot="1" x14ac:dyDescent="0.3">
      <c r="A1027" t="str">
        <f t="shared" ref="A1027:A1090" si="16">B1027 &amp; " " &amp; C1027</f>
        <v xml:space="preserve"> </v>
      </c>
      <c r="B1027" s="225"/>
      <c r="C1027" s="228"/>
      <c r="D1027" s="219" t="s">
        <v>2598</v>
      </c>
    </row>
    <row r="1028" spans="1:4" ht="50.1" customHeight="1" thickBot="1" x14ac:dyDescent="0.3">
      <c r="A1028" t="str">
        <f t="shared" si="16"/>
        <v>77.39.10 Udlejning og leasing af andet materiel, udstyr og andre materielle aktiver til events</v>
      </c>
      <c r="B1028" s="215" t="s">
        <v>2599</v>
      </c>
      <c r="C1028" s="216" t="s">
        <v>2600</v>
      </c>
      <c r="D1028" s="216" t="s">
        <v>2601</v>
      </c>
    </row>
    <row r="1029" spans="1:4" ht="50.1" customHeight="1" x14ac:dyDescent="0.25">
      <c r="A1029" t="str">
        <f t="shared" si="16"/>
        <v>77.39.90 Udlejning og leasing af andet materiel, udstyr og andre materielle aktiver, bortset fra til events</v>
      </c>
      <c r="B1029" s="223" t="s">
        <v>2602</v>
      </c>
      <c r="C1029" s="226" t="s">
        <v>2603</v>
      </c>
      <c r="D1029" s="217" t="s">
        <v>2604</v>
      </c>
    </row>
    <row r="1030" spans="1:4" ht="50.1" customHeight="1" x14ac:dyDescent="0.25">
      <c r="A1030" t="str">
        <f t="shared" si="16"/>
        <v xml:space="preserve"> </v>
      </c>
      <c r="B1030" s="224"/>
      <c r="C1030" s="227"/>
      <c r="D1030" s="218"/>
    </row>
    <row r="1031" spans="1:4" ht="50.1" customHeight="1" thickBot="1" x14ac:dyDescent="0.3">
      <c r="A1031" t="str">
        <f t="shared" si="16"/>
        <v xml:space="preserve"> </v>
      </c>
      <c r="B1031" s="225"/>
      <c r="C1031" s="228"/>
      <c r="D1031" s="219" t="s">
        <v>2605</v>
      </c>
    </row>
    <row r="1032" spans="1:4" ht="50.1" customHeight="1" x14ac:dyDescent="0.25">
      <c r="A1032" t="str">
        <f t="shared" si="16"/>
        <v>77.40.00 Leasing af intellektuelle ejendomsrettigheder og lignende produkter, dog ikke ophavsretsbeskyttede værker</v>
      </c>
      <c r="B1032" s="223" t="s">
        <v>2606</v>
      </c>
      <c r="C1032" s="226" t="s">
        <v>2607</v>
      </c>
      <c r="D1032" s="217" t="s">
        <v>2608</v>
      </c>
    </row>
    <row r="1033" spans="1:4" ht="50.1" customHeight="1" x14ac:dyDescent="0.25">
      <c r="A1033" t="str">
        <f t="shared" si="16"/>
        <v xml:space="preserve"> </v>
      </c>
      <c r="B1033" s="224"/>
      <c r="C1033" s="227"/>
      <c r="D1033" s="218"/>
    </row>
    <row r="1034" spans="1:4" ht="50.1" customHeight="1" thickBot="1" x14ac:dyDescent="0.3">
      <c r="A1034" t="str">
        <f t="shared" si="16"/>
        <v xml:space="preserve"> </v>
      </c>
      <c r="B1034" s="225"/>
      <c r="C1034" s="228"/>
      <c r="D1034" s="219" t="s">
        <v>2609</v>
      </c>
    </row>
    <row r="1035" spans="1:4" ht="50.1" customHeight="1" thickBot="1" x14ac:dyDescent="0.3">
      <c r="A1035" t="str">
        <f t="shared" si="16"/>
        <v>77.51.00 Formidlingsaktiviteter inden for udlejning og leasing af biler, autocampere og påhængsvogne</v>
      </c>
      <c r="B1035" s="215" t="s">
        <v>2610</v>
      </c>
      <c r="C1035" s="216" t="s">
        <v>2611</v>
      </c>
      <c r="D1035" s="216" t="s">
        <v>2612</v>
      </c>
    </row>
    <row r="1036" spans="1:4" ht="50.1" customHeight="1" thickBot="1" x14ac:dyDescent="0.3">
      <c r="A1036" t="str">
        <f t="shared" si="16"/>
        <v>77.52.00 Formidlingsaktiviteter inden for udlejning og leasing af andre materielle aktiver og ikke-finansielle immaterielle aktiver</v>
      </c>
      <c r="B1036" s="215" t="s">
        <v>2613</v>
      </c>
      <c r="C1036" s="216" t="s">
        <v>2614</v>
      </c>
      <c r="D1036" s="216" t="s">
        <v>2615</v>
      </c>
    </row>
    <row r="1037" spans="1:4" ht="50.1" customHeight="1" thickBot="1" x14ac:dyDescent="0.3">
      <c r="A1037" t="str">
        <f t="shared" si="16"/>
        <v>78.10.00 Arbejdsformidlingskontorers aktiviteter</v>
      </c>
      <c r="B1037" s="215" t="s">
        <v>2616</v>
      </c>
      <c r="C1037" s="216" t="s">
        <v>2617</v>
      </c>
      <c r="D1037" s="216" t="s">
        <v>2618</v>
      </c>
    </row>
    <row r="1038" spans="1:4" ht="50.1" customHeight="1" thickBot="1" x14ac:dyDescent="0.3">
      <c r="A1038" t="str">
        <f t="shared" si="16"/>
        <v>78.20.00 Vikarbureauers aktiviteter og anden personaleformidling</v>
      </c>
      <c r="B1038" s="215" t="s">
        <v>2619</v>
      </c>
      <c r="C1038" s="216" t="s">
        <v>2620</v>
      </c>
      <c r="D1038" s="216" t="s">
        <v>2621</v>
      </c>
    </row>
    <row r="1039" spans="1:4" ht="50.1" customHeight="1" thickBot="1" x14ac:dyDescent="0.3">
      <c r="A1039" t="str">
        <f t="shared" si="16"/>
        <v>79.11.00 Rejsebureauers aktiviteter</v>
      </c>
      <c r="B1039" s="215" t="s">
        <v>2622</v>
      </c>
      <c r="C1039" s="216" t="s">
        <v>2623</v>
      </c>
      <c r="D1039" s="216" t="s">
        <v>2624</v>
      </c>
    </row>
    <row r="1040" spans="1:4" ht="50.1" customHeight="1" x14ac:dyDescent="0.25">
      <c r="A1040" t="str">
        <f t="shared" si="16"/>
        <v>79.12.00 Rejsearrangørers aktiviteter</v>
      </c>
      <c r="B1040" s="223" t="s">
        <v>2625</v>
      </c>
      <c r="C1040" s="226" t="s">
        <v>2626</v>
      </c>
      <c r="D1040" s="217" t="s">
        <v>2627</v>
      </c>
    </row>
    <row r="1041" spans="1:4" ht="50.1" customHeight="1" x14ac:dyDescent="0.25">
      <c r="A1041" t="str">
        <f t="shared" si="16"/>
        <v xml:space="preserve"> </v>
      </c>
      <c r="B1041" s="224"/>
      <c r="C1041" s="227"/>
      <c r="D1041" s="220"/>
    </row>
    <row r="1042" spans="1:4" ht="50.1" customHeight="1" x14ac:dyDescent="0.25">
      <c r="A1042" t="str">
        <f t="shared" si="16"/>
        <v xml:space="preserve"> </v>
      </c>
      <c r="B1042" s="224"/>
      <c r="C1042" s="227"/>
      <c r="D1042" s="218" t="s">
        <v>2628</v>
      </c>
    </row>
    <row r="1043" spans="1:4" ht="50.1" customHeight="1" x14ac:dyDescent="0.25">
      <c r="A1043" t="str">
        <f t="shared" si="16"/>
        <v xml:space="preserve"> </v>
      </c>
      <c r="B1043" s="224"/>
      <c r="C1043" s="227"/>
      <c r="D1043" s="218"/>
    </row>
    <row r="1044" spans="1:4" ht="50.1" customHeight="1" thickBot="1" x14ac:dyDescent="0.3">
      <c r="A1044" t="str">
        <f t="shared" si="16"/>
        <v xml:space="preserve"> </v>
      </c>
      <c r="B1044" s="225"/>
      <c r="C1044" s="228"/>
      <c r="D1044" s="219" t="s">
        <v>2629</v>
      </c>
    </row>
    <row r="1045" spans="1:4" ht="50.1" customHeight="1" thickBot="1" x14ac:dyDescent="0.3">
      <c r="A1045" t="str">
        <f t="shared" si="16"/>
        <v>79.90.00 Andre reservationstjenesteydelser og tjenesteydelser i forbindelse hermed</v>
      </c>
      <c r="B1045" s="215" t="s">
        <v>2630</v>
      </c>
      <c r="C1045" s="216" t="s">
        <v>2631</v>
      </c>
      <c r="D1045" s="216" t="s">
        <v>2632</v>
      </c>
    </row>
    <row r="1046" spans="1:4" ht="50.1" customHeight="1" x14ac:dyDescent="0.25">
      <c r="A1046" t="str">
        <f t="shared" si="16"/>
        <v>80.01.00 Efterforskning og private vagt- og sikkerhedsaktiviteter</v>
      </c>
      <c r="B1046" s="223" t="s">
        <v>2633</v>
      </c>
      <c r="C1046" s="226" t="s">
        <v>2634</v>
      </c>
      <c r="D1046" s="217" t="s">
        <v>2635</v>
      </c>
    </row>
    <row r="1047" spans="1:4" ht="50.1" customHeight="1" x14ac:dyDescent="0.25">
      <c r="A1047" t="str">
        <f t="shared" si="16"/>
        <v xml:space="preserve"> </v>
      </c>
      <c r="B1047" s="224"/>
      <c r="C1047" s="227"/>
      <c r="D1047" s="218"/>
    </row>
    <row r="1048" spans="1:4" ht="50.1" customHeight="1" thickBot="1" x14ac:dyDescent="0.3">
      <c r="A1048" t="str">
        <f t="shared" si="16"/>
        <v xml:space="preserve"> </v>
      </c>
      <c r="B1048" s="225"/>
      <c r="C1048" s="228"/>
      <c r="D1048" s="219" t="s">
        <v>2636</v>
      </c>
    </row>
    <row r="1049" spans="1:4" ht="50.1" customHeight="1" x14ac:dyDescent="0.25">
      <c r="A1049" t="str">
        <f t="shared" si="16"/>
        <v>80.09.00 Vagt- og sikkerhedsaktiviteter i.a.n.</v>
      </c>
      <c r="B1049" s="223" t="s">
        <v>2637</v>
      </c>
      <c r="C1049" s="226" t="s">
        <v>2638</v>
      </c>
      <c r="D1049" s="217" t="s">
        <v>2639</v>
      </c>
    </row>
    <row r="1050" spans="1:4" ht="50.1" customHeight="1" x14ac:dyDescent="0.25">
      <c r="A1050" t="str">
        <f t="shared" si="16"/>
        <v xml:space="preserve"> </v>
      </c>
      <c r="B1050" s="224"/>
      <c r="C1050" s="227"/>
      <c r="D1050" s="218"/>
    </row>
    <row r="1051" spans="1:4" ht="50.1" customHeight="1" thickBot="1" x14ac:dyDescent="0.3">
      <c r="A1051" t="str">
        <f t="shared" si="16"/>
        <v xml:space="preserve"> </v>
      </c>
      <c r="B1051" s="225"/>
      <c r="C1051" s="228"/>
      <c r="D1051" s="219" t="s">
        <v>2640</v>
      </c>
    </row>
    <row r="1052" spans="1:4" ht="50.1" customHeight="1" thickBot="1" x14ac:dyDescent="0.3">
      <c r="A1052" t="str">
        <f t="shared" si="16"/>
        <v>81.10.00 Levering af kombinerede hjælpetjenester i forbindelse med drift af fast ejendom</v>
      </c>
      <c r="B1052" s="215" t="s">
        <v>2641</v>
      </c>
      <c r="C1052" s="216" t="s">
        <v>2642</v>
      </c>
      <c r="D1052" s="216" t="s">
        <v>2643</v>
      </c>
    </row>
    <row r="1053" spans="1:4" ht="50.1" customHeight="1" thickBot="1" x14ac:dyDescent="0.3">
      <c r="A1053" t="str">
        <f t="shared" si="16"/>
        <v>81.21.00 Almindelig rengøring i bygninger</v>
      </c>
      <c r="B1053" s="215" t="s">
        <v>2644</v>
      </c>
      <c r="C1053" s="216" t="s">
        <v>2645</v>
      </c>
      <c r="D1053" s="216" t="s">
        <v>2646</v>
      </c>
    </row>
    <row r="1054" spans="1:4" ht="50.1" customHeight="1" thickBot="1" x14ac:dyDescent="0.3">
      <c r="A1054" t="str">
        <f t="shared" si="16"/>
        <v>81.22.10 Vinduespolering</v>
      </c>
      <c r="B1054" s="215" t="s">
        <v>2647</v>
      </c>
      <c r="C1054" s="216" t="s">
        <v>2648</v>
      </c>
      <c r="D1054" s="216" t="s">
        <v>2649</v>
      </c>
    </row>
    <row r="1055" spans="1:4" ht="50.1" customHeight="1" thickBot="1" x14ac:dyDescent="0.3">
      <c r="A1055" t="str">
        <f t="shared" si="16"/>
        <v>81.22.20 Skorstensfejning</v>
      </c>
      <c r="B1055" s="215" t="s">
        <v>2650</v>
      </c>
      <c r="C1055" s="216" t="s">
        <v>2651</v>
      </c>
      <c r="D1055" s="216" t="s">
        <v>2652</v>
      </c>
    </row>
    <row r="1056" spans="1:4" ht="50.1" customHeight="1" thickBot="1" x14ac:dyDescent="0.3">
      <c r="A1056" t="str">
        <f t="shared" si="16"/>
        <v>81.22.90 Anden rengøring af bygninger og rengøring af erhvervslokaler i.a.n.</v>
      </c>
      <c r="B1056" s="215" t="s">
        <v>2653</v>
      </c>
      <c r="C1056" s="216" t="s">
        <v>2654</v>
      </c>
      <c r="D1056" s="216" t="s">
        <v>2655</v>
      </c>
    </row>
    <row r="1057" spans="1:4" ht="50.1" customHeight="1" thickBot="1" x14ac:dyDescent="0.3">
      <c r="A1057" t="str">
        <f t="shared" si="16"/>
        <v>81.23.00 Anden rengøring</v>
      </c>
      <c r="B1057" s="215" t="s">
        <v>2656</v>
      </c>
      <c r="C1057" s="216" t="s">
        <v>2657</v>
      </c>
      <c r="D1057" s="216" t="s">
        <v>2658</v>
      </c>
    </row>
    <row r="1058" spans="1:4" ht="50.1" customHeight="1" thickBot="1" x14ac:dyDescent="0.3">
      <c r="A1058" t="str">
        <f t="shared" si="16"/>
        <v>81.30.00 Landskabspleje</v>
      </c>
      <c r="B1058" s="215" t="s">
        <v>2659</v>
      </c>
      <c r="C1058" s="216" t="s">
        <v>2660</v>
      </c>
      <c r="D1058" s="216" t="s">
        <v>2661</v>
      </c>
    </row>
    <row r="1059" spans="1:4" ht="50.1" customHeight="1" thickBot="1" x14ac:dyDescent="0.3">
      <c r="A1059" t="str">
        <f t="shared" si="16"/>
        <v>82.10.00 Administrations- og kontorserviceaktiviteter</v>
      </c>
      <c r="B1059" s="215" t="s">
        <v>2662</v>
      </c>
      <c r="C1059" s="216" t="s">
        <v>2663</v>
      </c>
      <c r="D1059" s="216" t="s">
        <v>2664</v>
      </c>
    </row>
    <row r="1060" spans="1:4" ht="50.1" customHeight="1" thickBot="1" x14ac:dyDescent="0.3">
      <c r="A1060" t="str">
        <f t="shared" si="16"/>
        <v>82.20.00 Drift af callcentre</v>
      </c>
      <c r="B1060" s="215" t="s">
        <v>2665</v>
      </c>
      <c r="C1060" s="216" t="s">
        <v>2666</v>
      </c>
      <c r="D1060" s="216" t="s">
        <v>2667</v>
      </c>
    </row>
    <row r="1061" spans="1:4" ht="50.1" customHeight="1" thickBot="1" x14ac:dyDescent="0.3">
      <c r="A1061" t="str">
        <f t="shared" si="16"/>
        <v>82.30.00 Organisering af kongresser, messer og udstillinger</v>
      </c>
      <c r="B1061" s="215" t="s">
        <v>2668</v>
      </c>
      <c r="C1061" s="216" t="s">
        <v>2669</v>
      </c>
      <c r="D1061" s="216" t="s">
        <v>2670</v>
      </c>
    </row>
    <row r="1062" spans="1:4" ht="50.1" customHeight="1" thickBot="1" x14ac:dyDescent="0.3">
      <c r="A1062" t="str">
        <f t="shared" si="16"/>
        <v>82.40.00 Formidlingsaktiviteter inden for forretningsservice i.a.n.</v>
      </c>
      <c r="B1062" s="215" t="s">
        <v>2671</v>
      </c>
      <c r="C1062" s="216" t="s">
        <v>2672</v>
      </c>
      <c r="D1062" s="216" t="s">
        <v>2673</v>
      </c>
    </row>
    <row r="1063" spans="1:4" ht="50.1" customHeight="1" thickBot="1" x14ac:dyDescent="0.3">
      <c r="A1063" t="str">
        <f t="shared" si="16"/>
        <v>82.91.00 Inkassoaktiviteter og kreditoplysning</v>
      </c>
      <c r="B1063" s="215" t="s">
        <v>2674</v>
      </c>
      <c r="C1063" s="216" t="s">
        <v>2675</v>
      </c>
      <c r="D1063" s="216" t="s">
        <v>2676</v>
      </c>
    </row>
    <row r="1064" spans="1:4" ht="50.1" customHeight="1" thickBot="1" x14ac:dyDescent="0.3">
      <c r="A1064" t="str">
        <f t="shared" si="16"/>
        <v>82.92.00 Pakkeriaktiviteter</v>
      </c>
      <c r="B1064" s="215" t="s">
        <v>2677</v>
      </c>
      <c r="C1064" s="216" t="s">
        <v>2678</v>
      </c>
      <c r="D1064" s="216" t="s">
        <v>2679</v>
      </c>
    </row>
    <row r="1065" spans="1:4" ht="50.1" customHeight="1" thickBot="1" x14ac:dyDescent="0.3">
      <c r="A1065" t="str">
        <f t="shared" si="16"/>
        <v>82.99.00 Andre forretningsserviceaktiviteter i.a.n.</v>
      </c>
      <c r="B1065" s="215" t="s">
        <v>2680</v>
      </c>
      <c r="C1065" s="216" t="s">
        <v>2681</v>
      </c>
      <c r="D1065" s="216" t="s">
        <v>2682</v>
      </c>
    </row>
    <row r="1066" spans="1:4" ht="50.1" customHeight="1" thickBot="1" x14ac:dyDescent="0.3">
      <c r="A1066" t="str">
        <f t="shared" si="16"/>
        <v>84.11.00 Generelle offentlige forvaltningsaktiviteter</v>
      </c>
      <c r="B1066" s="215" t="s">
        <v>2683</v>
      </c>
      <c r="C1066" s="216" t="s">
        <v>2684</v>
      </c>
      <c r="D1066" s="216" t="s">
        <v>2685</v>
      </c>
    </row>
    <row r="1067" spans="1:4" ht="50.1" customHeight="1" thickBot="1" x14ac:dyDescent="0.3">
      <c r="A1067" t="str">
        <f t="shared" si="16"/>
        <v>84.12.00 Administration af sundhedsvæsen, undervisning, kultur og sociale forhold</v>
      </c>
      <c r="B1067" s="215" t="s">
        <v>2686</v>
      </c>
      <c r="C1067" s="216" t="s">
        <v>2687</v>
      </c>
      <c r="D1067" s="216" t="s">
        <v>2688</v>
      </c>
    </row>
    <row r="1068" spans="1:4" ht="50.1" customHeight="1" thickBot="1" x14ac:dyDescent="0.3">
      <c r="A1068" t="str">
        <f t="shared" si="16"/>
        <v>84.13.00 Administration af og bidrag til erhvervsfremme</v>
      </c>
      <c r="B1068" s="215" t="s">
        <v>2689</v>
      </c>
      <c r="C1068" s="216" t="s">
        <v>2690</v>
      </c>
      <c r="D1068" s="216" t="s">
        <v>2691</v>
      </c>
    </row>
    <row r="1069" spans="1:4" ht="50.1" customHeight="1" thickBot="1" x14ac:dyDescent="0.3">
      <c r="A1069" t="str">
        <f t="shared" si="16"/>
        <v>84.21.00 Udenrigsanliggender</v>
      </c>
      <c r="B1069" s="215" t="s">
        <v>2692</v>
      </c>
      <c r="C1069" s="216" t="s">
        <v>2693</v>
      </c>
      <c r="D1069" s="216" t="s">
        <v>2694</v>
      </c>
    </row>
    <row r="1070" spans="1:4" ht="50.1" customHeight="1" thickBot="1" x14ac:dyDescent="0.3">
      <c r="A1070" t="str">
        <f t="shared" si="16"/>
        <v>84.22.00 Aktiviteter inden for forsvar</v>
      </c>
      <c r="B1070" s="215" t="s">
        <v>2695</v>
      </c>
      <c r="C1070" s="216" t="s">
        <v>2696</v>
      </c>
      <c r="D1070" s="216" t="s">
        <v>2697</v>
      </c>
    </row>
    <row r="1071" spans="1:4" ht="50.1" customHeight="1" thickBot="1" x14ac:dyDescent="0.3">
      <c r="A1071" t="str">
        <f t="shared" si="16"/>
        <v>84.23.00 Aktiviteter inden for retsvæsen</v>
      </c>
      <c r="B1071" s="215" t="s">
        <v>2698</v>
      </c>
      <c r="C1071" s="216" t="s">
        <v>2699</v>
      </c>
      <c r="D1071" s="216" t="s">
        <v>2700</v>
      </c>
    </row>
    <row r="1072" spans="1:4" ht="50.1" customHeight="1" thickBot="1" x14ac:dyDescent="0.3">
      <c r="A1072" t="str">
        <f t="shared" si="16"/>
        <v>84.24.00 Aktiviteter inden for offentlig sikkerhed og orden</v>
      </c>
      <c r="B1072" s="215" t="s">
        <v>2701</v>
      </c>
      <c r="C1072" s="216" t="s">
        <v>2702</v>
      </c>
      <c r="D1072" s="216" t="s">
        <v>2703</v>
      </c>
    </row>
    <row r="1073" spans="1:4" ht="50.1" customHeight="1" thickBot="1" x14ac:dyDescent="0.3">
      <c r="A1073" t="str">
        <f t="shared" si="16"/>
        <v>84.25.00 Aktiviteter inden for brandvæsen</v>
      </c>
      <c r="B1073" s="215" t="s">
        <v>2704</v>
      </c>
      <c r="C1073" s="216" t="s">
        <v>2705</v>
      </c>
      <c r="D1073" s="216" t="s">
        <v>2706</v>
      </c>
    </row>
    <row r="1074" spans="1:4" ht="50.1" customHeight="1" thickBot="1" x14ac:dyDescent="0.3">
      <c r="A1074" t="str">
        <f t="shared" si="16"/>
        <v>84.30.00 Aktiviteter inden for lovpligtig socialsikring</v>
      </c>
      <c r="B1074" s="215" t="s">
        <v>2707</v>
      </c>
      <c r="C1074" s="216" t="s">
        <v>2708</v>
      </c>
      <c r="D1074" s="216" t="s">
        <v>2709</v>
      </c>
    </row>
    <row r="1075" spans="1:4" ht="50.1" customHeight="1" thickBot="1" x14ac:dyDescent="0.3">
      <c r="A1075" t="str">
        <f t="shared" si="16"/>
        <v>85.10.00 Førskoleundervisning</v>
      </c>
      <c r="B1075" s="215" t="s">
        <v>2710</v>
      </c>
      <c r="C1075" s="216" t="s">
        <v>2711</v>
      </c>
      <c r="D1075" s="216" t="s">
        <v>2712</v>
      </c>
    </row>
    <row r="1076" spans="1:4" ht="50.1" customHeight="1" thickBot="1" x14ac:dyDescent="0.3">
      <c r="A1076" t="str">
        <f t="shared" si="16"/>
        <v>85.20.10 Undervisning på almene grundskoler</v>
      </c>
      <c r="B1076" s="215" t="s">
        <v>2713</v>
      </c>
      <c r="C1076" s="216" t="s">
        <v>2714</v>
      </c>
      <c r="D1076" s="216" t="s">
        <v>2715</v>
      </c>
    </row>
    <row r="1077" spans="1:4" ht="50.1" customHeight="1" thickBot="1" x14ac:dyDescent="0.3">
      <c r="A1077" t="str">
        <f t="shared" si="16"/>
        <v>85.20.20 Undervisning på specialskoler for børn med funktionsnedsættelser</v>
      </c>
      <c r="B1077" s="215" t="s">
        <v>2716</v>
      </c>
      <c r="C1077" s="216" t="s">
        <v>2717</v>
      </c>
      <c r="D1077" s="216" t="s">
        <v>2718</v>
      </c>
    </row>
    <row r="1078" spans="1:4" ht="50.1" customHeight="1" thickBot="1" x14ac:dyDescent="0.3">
      <c r="A1078" t="str">
        <f t="shared" si="16"/>
        <v>85.31.10 Undervisning på ungdoms- og efterskoler</v>
      </c>
      <c r="B1078" s="215" t="s">
        <v>2719</v>
      </c>
      <c r="C1078" s="216" t="s">
        <v>2720</v>
      </c>
      <c r="D1078" s="216" t="s">
        <v>2721</v>
      </c>
    </row>
    <row r="1079" spans="1:4" ht="50.1" customHeight="1" thickBot="1" x14ac:dyDescent="0.3">
      <c r="A1079" t="str">
        <f t="shared" si="16"/>
        <v>85.31.20 Undervisning på gymnasier, studenter- og HF-kurser</v>
      </c>
      <c r="B1079" s="215" t="s">
        <v>2722</v>
      </c>
      <c r="C1079" s="216" t="s">
        <v>2723</v>
      </c>
      <c r="D1079" s="216" t="s">
        <v>2724</v>
      </c>
    </row>
    <row r="1080" spans="1:4" ht="50.1" customHeight="1" thickBot="1" x14ac:dyDescent="0.3">
      <c r="A1080" t="str">
        <f t="shared" si="16"/>
        <v>85.32.00 Undervisning på erhvervsfaglige skoler</v>
      </c>
      <c r="B1080" s="215" t="s">
        <v>2725</v>
      </c>
      <c r="C1080" s="216" t="s">
        <v>2726</v>
      </c>
      <c r="D1080" s="216" t="s">
        <v>2727</v>
      </c>
    </row>
    <row r="1081" spans="1:4" ht="50.1" customHeight="1" thickBot="1" x14ac:dyDescent="0.3">
      <c r="A1081" t="str">
        <f t="shared" si="16"/>
        <v>85.33.00 Videregående uddannelse, ikke på universitetsniveau</v>
      </c>
      <c r="B1081" s="215" t="s">
        <v>2728</v>
      </c>
      <c r="C1081" s="216" t="s">
        <v>2729</v>
      </c>
      <c r="D1081" s="216" t="s">
        <v>2730</v>
      </c>
    </row>
    <row r="1082" spans="1:4" ht="50.1" customHeight="1" thickBot="1" x14ac:dyDescent="0.3">
      <c r="A1082" t="str">
        <f t="shared" si="16"/>
        <v>85.40.00 Videregående uddannelse på universitetsniveau</v>
      </c>
      <c r="B1082" s="215" t="s">
        <v>2731</v>
      </c>
      <c r="C1082" s="216" t="s">
        <v>2732</v>
      </c>
      <c r="D1082" s="216" t="s">
        <v>2733</v>
      </c>
    </row>
    <row r="1083" spans="1:4" ht="50.1" customHeight="1" x14ac:dyDescent="0.25">
      <c r="A1083" t="str">
        <f t="shared" si="16"/>
        <v>85.51.00 Undervisning inden for sport og fritid</v>
      </c>
      <c r="B1083" s="223" t="s">
        <v>2734</v>
      </c>
      <c r="C1083" s="226" t="s">
        <v>2735</v>
      </c>
      <c r="D1083" s="217" t="s">
        <v>2736</v>
      </c>
    </row>
    <row r="1084" spans="1:4" ht="50.1" customHeight="1" x14ac:dyDescent="0.25">
      <c r="A1084" t="str">
        <f t="shared" si="16"/>
        <v xml:space="preserve"> </v>
      </c>
      <c r="B1084" s="224"/>
      <c r="C1084" s="227"/>
      <c r="D1084" s="218"/>
    </row>
    <row r="1085" spans="1:4" ht="50.1" customHeight="1" thickBot="1" x14ac:dyDescent="0.3">
      <c r="A1085" t="str">
        <f t="shared" si="16"/>
        <v xml:space="preserve"> </v>
      </c>
      <c r="B1085" s="225"/>
      <c r="C1085" s="228"/>
      <c r="D1085" s="219" t="s">
        <v>2737</v>
      </c>
    </row>
    <row r="1086" spans="1:4" ht="50.1" customHeight="1" thickBot="1" x14ac:dyDescent="0.3">
      <c r="A1086" t="str">
        <f t="shared" si="16"/>
        <v>85.52.00 Undervisning i kulturelle discipliner</v>
      </c>
      <c r="B1086" s="215" t="s">
        <v>2738</v>
      </c>
      <c r="C1086" s="216" t="s">
        <v>2739</v>
      </c>
      <c r="D1086" s="216" t="s">
        <v>2740</v>
      </c>
    </row>
    <row r="1087" spans="1:4" ht="50.1" customHeight="1" thickBot="1" x14ac:dyDescent="0.3">
      <c r="A1087" t="str">
        <f t="shared" si="16"/>
        <v>85.53.00 Drift af køreskoler</v>
      </c>
      <c r="B1087" s="215" t="s">
        <v>2741</v>
      </c>
      <c r="C1087" s="216" t="s">
        <v>2742</v>
      </c>
      <c r="D1087" s="216" t="s">
        <v>2743</v>
      </c>
    </row>
    <row r="1088" spans="1:4" ht="50.1" customHeight="1" thickBot="1" x14ac:dyDescent="0.3">
      <c r="A1088" t="str">
        <f t="shared" si="16"/>
        <v>85.59.00 Anden undervisning i.a.n.</v>
      </c>
      <c r="B1088" s="215" t="s">
        <v>2744</v>
      </c>
      <c r="C1088" s="216" t="s">
        <v>2745</v>
      </c>
      <c r="D1088" s="216" t="s">
        <v>2746</v>
      </c>
    </row>
    <row r="1089" spans="1:4" ht="50.1" customHeight="1" thickBot="1" x14ac:dyDescent="0.3">
      <c r="A1089" t="str">
        <f t="shared" si="16"/>
        <v>85.61.00 Formidlingsaktiviteter i forbindelse med kurser og undervisere</v>
      </c>
      <c r="B1089" s="215" t="s">
        <v>2747</v>
      </c>
      <c r="C1089" s="216" t="s">
        <v>2748</v>
      </c>
      <c r="D1089" s="216" t="s">
        <v>2749</v>
      </c>
    </row>
    <row r="1090" spans="1:4" ht="50.1" customHeight="1" thickBot="1" x14ac:dyDescent="0.3">
      <c r="A1090" t="str">
        <f t="shared" si="16"/>
        <v>85.69.00 Levering af hjælpeydelser i forbindelse med undervisning i.a.n.</v>
      </c>
      <c r="B1090" s="215" t="s">
        <v>2750</v>
      </c>
      <c r="C1090" s="216" t="s">
        <v>2751</v>
      </c>
      <c r="D1090" s="216" t="s">
        <v>2752</v>
      </c>
    </row>
    <row r="1091" spans="1:4" ht="50.1" customHeight="1" x14ac:dyDescent="0.25">
      <c r="A1091" t="str">
        <f t="shared" ref="A1091:A1154" si="17">B1091 &amp; " " &amp; C1091</f>
        <v>86.10.00 Aktiviteter inden for hospitalsvæsen</v>
      </c>
      <c r="B1091" s="223" t="s">
        <v>2753</v>
      </c>
      <c r="C1091" s="226" t="s">
        <v>2754</v>
      </c>
      <c r="D1091" s="217" t="s">
        <v>2755</v>
      </c>
    </row>
    <row r="1092" spans="1:4" ht="50.1" customHeight="1" x14ac:dyDescent="0.25">
      <c r="A1092" t="str">
        <f t="shared" si="17"/>
        <v xml:space="preserve"> </v>
      </c>
      <c r="B1092" s="224"/>
      <c r="C1092" s="227"/>
      <c r="D1092" s="218"/>
    </row>
    <row r="1093" spans="1:4" ht="50.1" customHeight="1" thickBot="1" x14ac:dyDescent="0.3">
      <c r="A1093" t="str">
        <f t="shared" si="17"/>
        <v xml:space="preserve"> </v>
      </c>
      <c r="B1093" s="225"/>
      <c r="C1093" s="228"/>
      <c r="D1093" s="219" t="s">
        <v>2756</v>
      </c>
    </row>
    <row r="1094" spans="1:4" ht="50.1" customHeight="1" x14ac:dyDescent="0.25">
      <c r="A1094" t="str">
        <f t="shared" si="17"/>
        <v>86.21.00 Alment praktiserende lægers aktiviteter</v>
      </c>
      <c r="B1094" s="223" t="s">
        <v>2757</v>
      </c>
      <c r="C1094" s="226" t="s">
        <v>2758</v>
      </c>
      <c r="D1094" s="217" t="s">
        <v>2759</v>
      </c>
    </row>
    <row r="1095" spans="1:4" ht="50.1" customHeight="1" x14ac:dyDescent="0.25">
      <c r="A1095" t="str">
        <f t="shared" si="17"/>
        <v xml:space="preserve"> </v>
      </c>
      <c r="B1095" s="224"/>
      <c r="C1095" s="227"/>
      <c r="D1095" s="218"/>
    </row>
    <row r="1096" spans="1:4" ht="50.1" customHeight="1" thickBot="1" x14ac:dyDescent="0.3">
      <c r="A1096" t="str">
        <f t="shared" si="17"/>
        <v xml:space="preserve"> </v>
      </c>
      <c r="B1096" s="225"/>
      <c r="C1096" s="228"/>
      <c r="D1096" s="219" t="s">
        <v>2760</v>
      </c>
    </row>
    <row r="1097" spans="1:4" ht="50.1" customHeight="1" x14ac:dyDescent="0.25">
      <c r="A1097" t="str">
        <f t="shared" si="17"/>
        <v>86.22.00 Speciallægers aktiviteter</v>
      </c>
      <c r="B1097" s="223" t="s">
        <v>2761</v>
      </c>
      <c r="C1097" s="226" t="s">
        <v>2762</v>
      </c>
      <c r="D1097" s="217" t="s">
        <v>2763</v>
      </c>
    </row>
    <row r="1098" spans="1:4" ht="50.1" customHeight="1" x14ac:dyDescent="0.25">
      <c r="A1098" t="str">
        <f t="shared" si="17"/>
        <v xml:space="preserve"> </v>
      </c>
      <c r="B1098" s="224"/>
      <c r="C1098" s="227"/>
      <c r="D1098" s="218"/>
    </row>
    <row r="1099" spans="1:4" ht="50.1" customHeight="1" thickBot="1" x14ac:dyDescent="0.3">
      <c r="A1099" t="str">
        <f t="shared" si="17"/>
        <v xml:space="preserve"> </v>
      </c>
      <c r="B1099" s="225"/>
      <c r="C1099" s="228"/>
      <c r="D1099" s="219" t="s">
        <v>2764</v>
      </c>
    </row>
    <row r="1100" spans="1:4" ht="50.1" customHeight="1" x14ac:dyDescent="0.25">
      <c r="A1100" t="str">
        <f t="shared" si="17"/>
        <v>86.23.00 Tandlægers aktiviteter</v>
      </c>
      <c r="B1100" s="223" t="s">
        <v>2765</v>
      </c>
      <c r="C1100" s="226" t="s">
        <v>2766</v>
      </c>
      <c r="D1100" s="217" t="s">
        <v>2767</v>
      </c>
    </row>
    <row r="1101" spans="1:4" ht="50.1" customHeight="1" x14ac:dyDescent="0.25">
      <c r="A1101" t="str">
        <f t="shared" si="17"/>
        <v xml:space="preserve"> </v>
      </c>
      <c r="B1101" s="224"/>
      <c r="C1101" s="227"/>
      <c r="D1101" s="218"/>
    </row>
    <row r="1102" spans="1:4" ht="50.1" customHeight="1" thickBot="1" x14ac:dyDescent="0.3">
      <c r="A1102" t="str">
        <f t="shared" si="17"/>
        <v xml:space="preserve"> </v>
      </c>
      <c r="B1102" s="225"/>
      <c r="C1102" s="228"/>
      <c r="D1102" s="219" t="s">
        <v>2768</v>
      </c>
    </row>
    <row r="1103" spans="1:4" ht="50.1" customHeight="1" x14ac:dyDescent="0.25">
      <c r="A1103" t="str">
        <f t="shared" si="17"/>
        <v>86.91.00 Billeddiagnostiske undersøgelser og medicinske laboratorieaktiviteter</v>
      </c>
      <c r="B1103" s="223" t="s">
        <v>2769</v>
      </c>
      <c r="C1103" s="226" t="s">
        <v>2770</v>
      </c>
      <c r="D1103" s="217" t="s">
        <v>2771</v>
      </c>
    </row>
    <row r="1104" spans="1:4" ht="50.1" customHeight="1" x14ac:dyDescent="0.25">
      <c r="A1104" t="str">
        <f t="shared" si="17"/>
        <v xml:space="preserve"> </v>
      </c>
      <c r="B1104" s="224"/>
      <c r="C1104" s="227"/>
      <c r="D1104" s="218"/>
    </row>
    <row r="1105" spans="1:4" ht="50.1" customHeight="1" thickBot="1" x14ac:dyDescent="0.3">
      <c r="A1105" t="str">
        <f t="shared" si="17"/>
        <v xml:space="preserve"> </v>
      </c>
      <c r="B1105" s="225"/>
      <c r="C1105" s="228"/>
      <c r="D1105" s="219" t="s">
        <v>2772</v>
      </c>
    </row>
    <row r="1106" spans="1:4" ht="50.1" customHeight="1" thickBot="1" x14ac:dyDescent="0.3">
      <c r="A1106" t="str">
        <f t="shared" si="17"/>
        <v>86.92.00 Patienttransport med ambulance</v>
      </c>
      <c r="B1106" s="215" t="s">
        <v>2773</v>
      </c>
      <c r="C1106" s="216" t="s">
        <v>2774</v>
      </c>
      <c r="D1106" s="216" t="s">
        <v>2775</v>
      </c>
    </row>
    <row r="1107" spans="1:4" ht="50.1" customHeight="1" x14ac:dyDescent="0.25">
      <c r="A1107" t="str">
        <f t="shared" si="17"/>
        <v>86.93.00 Psykologisk og psykoterapeutisk rådgivning</v>
      </c>
      <c r="B1107" s="223" t="s">
        <v>2776</v>
      </c>
      <c r="C1107" s="226" t="s">
        <v>2777</v>
      </c>
      <c r="D1107" s="217" t="s">
        <v>2778</v>
      </c>
    </row>
    <row r="1108" spans="1:4" ht="50.1" customHeight="1" x14ac:dyDescent="0.25">
      <c r="A1108" t="str">
        <f t="shared" si="17"/>
        <v xml:space="preserve"> </v>
      </c>
      <c r="B1108" s="224"/>
      <c r="C1108" s="227"/>
      <c r="D1108" s="218"/>
    </row>
    <row r="1109" spans="1:4" ht="50.1" customHeight="1" thickBot="1" x14ac:dyDescent="0.3">
      <c r="A1109" t="str">
        <f t="shared" si="17"/>
        <v xml:space="preserve"> </v>
      </c>
      <c r="B1109" s="225"/>
      <c r="C1109" s="228"/>
      <c r="D1109" s="219" t="s">
        <v>2779</v>
      </c>
    </row>
    <row r="1110" spans="1:4" ht="50.1" customHeight="1" x14ac:dyDescent="0.25">
      <c r="A1110" t="str">
        <f t="shared" si="17"/>
        <v>86.94.00 Sundhedspleje, hjemmesygepleje, jordemoderaktiviteter mv.</v>
      </c>
      <c r="B1110" s="223" t="s">
        <v>2780</v>
      </c>
      <c r="C1110" s="226" t="s">
        <v>2781</v>
      </c>
      <c r="D1110" s="217" t="s">
        <v>2782</v>
      </c>
    </row>
    <row r="1111" spans="1:4" ht="50.1" customHeight="1" x14ac:dyDescent="0.25">
      <c r="A1111" t="str">
        <f t="shared" si="17"/>
        <v xml:space="preserve"> </v>
      </c>
      <c r="B1111" s="224"/>
      <c r="C1111" s="227"/>
      <c r="D1111" s="218"/>
    </row>
    <row r="1112" spans="1:4" ht="50.1" customHeight="1" thickBot="1" x14ac:dyDescent="0.3">
      <c r="A1112" t="str">
        <f t="shared" si="17"/>
        <v xml:space="preserve"> </v>
      </c>
      <c r="B1112" s="225"/>
      <c r="C1112" s="228"/>
      <c r="D1112" s="219" t="s">
        <v>2783</v>
      </c>
    </row>
    <row r="1113" spans="1:4" ht="50.1" customHeight="1" x14ac:dyDescent="0.25">
      <c r="A1113" t="str">
        <f t="shared" si="17"/>
        <v>86.95.00 Fysio- og ergoterapi</v>
      </c>
      <c r="B1113" s="223" t="s">
        <v>2784</v>
      </c>
      <c r="C1113" s="226" t="s">
        <v>2785</v>
      </c>
      <c r="D1113" s="217" t="s">
        <v>2786</v>
      </c>
    </row>
    <row r="1114" spans="1:4" ht="50.1" customHeight="1" x14ac:dyDescent="0.25">
      <c r="A1114" t="str">
        <f t="shared" si="17"/>
        <v xml:space="preserve"> </v>
      </c>
      <c r="B1114" s="224"/>
      <c r="C1114" s="227"/>
      <c r="D1114" s="218"/>
    </row>
    <row r="1115" spans="1:4" ht="50.1" customHeight="1" thickBot="1" x14ac:dyDescent="0.3">
      <c r="A1115" t="str">
        <f t="shared" si="17"/>
        <v xml:space="preserve"> </v>
      </c>
      <c r="B1115" s="225"/>
      <c r="C1115" s="228"/>
      <c r="D1115" s="219" t="s">
        <v>2787</v>
      </c>
    </row>
    <row r="1116" spans="1:4" ht="50.1" customHeight="1" x14ac:dyDescent="0.25">
      <c r="A1116" t="str">
        <f t="shared" si="17"/>
        <v>86.96.00 Traditionelle, komplementære og alternative behandlingsformer</v>
      </c>
      <c r="B1116" s="223" t="s">
        <v>2788</v>
      </c>
      <c r="C1116" s="226" t="s">
        <v>2789</v>
      </c>
      <c r="D1116" s="217" t="s">
        <v>2790</v>
      </c>
    </row>
    <row r="1117" spans="1:4" ht="50.1" customHeight="1" x14ac:dyDescent="0.25">
      <c r="A1117" t="str">
        <f t="shared" si="17"/>
        <v xml:space="preserve"> </v>
      </c>
      <c r="B1117" s="224"/>
      <c r="C1117" s="227"/>
      <c r="D1117" s="218"/>
    </row>
    <row r="1118" spans="1:4" ht="50.1" customHeight="1" thickBot="1" x14ac:dyDescent="0.3">
      <c r="A1118" t="str">
        <f t="shared" si="17"/>
        <v xml:space="preserve"> </v>
      </c>
      <c r="B1118" s="225"/>
      <c r="C1118" s="228"/>
      <c r="D1118" s="219" t="s">
        <v>2791</v>
      </c>
    </row>
    <row r="1119" spans="1:4" ht="50.1" customHeight="1" x14ac:dyDescent="0.25">
      <c r="A1119" t="str">
        <f t="shared" si="17"/>
        <v>86.97.00 Formidlingsaktiviteter inden for læge- og tandlægeaktiviteter samt sundhedsvæsen i øvrigt</v>
      </c>
      <c r="B1119" s="223" t="s">
        <v>2792</v>
      </c>
      <c r="C1119" s="226" t="s">
        <v>2793</v>
      </c>
      <c r="D1119" s="217" t="s">
        <v>2794</v>
      </c>
    </row>
    <row r="1120" spans="1:4" ht="50.1" customHeight="1" x14ac:dyDescent="0.25">
      <c r="A1120" t="str">
        <f t="shared" si="17"/>
        <v xml:space="preserve"> </v>
      </c>
      <c r="B1120" s="224"/>
      <c r="C1120" s="227"/>
      <c r="D1120" s="218"/>
    </row>
    <row r="1121" spans="1:4" ht="50.1" customHeight="1" thickBot="1" x14ac:dyDescent="0.3">
      <c r="A1121" t="str">
        <f t="shared" si="17"/>
        <v xml:space="preserve"> </v>
      </c>
      <c r="B1121" s="225"/>
      <c r="C1121" s="228"/>
      <c r="D1121" s="219" t="s">
        <v>2795</v>
      </c>
    </row>
    <row r="1122" spans="1:4" ht="50.1" customHeight="1" x14ac:dyDescent="0.25">
      <c r="A1122" t="str">
        <f t="shared" si="17"/>
        <v>86.99.00 Drift af sundhedsvæsen i øvrigt i.a.n.</v>
      </c>
      <c r="B1122" s="223" t="s">
        <v>2796</v>
      </c>
      <c r="C1122" s="226" t="s">
        <v>2797</v>
      </c>
      <c r="D1122" s="217" t="s">
        <v>2798</v>
      </c>
    </row>
    <row r="1123" spans="1:4" ht="50.1" customHeight="1" x14ac:dyDescent="0.25">
      <c r="A1123" t="str">
        <f t="shared" si="17"/>
        <v xml:space="preserve"> </v>
      </c>
      <c r="B1123" s="224"/>
      <c r="C1123" s="227"/>
      <c r="D1123" s="218"/>
    </row>
    <row r="1124" spans="1:4" ht="50.1" customHeight="1" thickBot="1" x14ac:dyDescent="0.3">
      <c r="A1124" t="str">
        <f t="shared" si="17"/>
        <v xml:space="preserve"> </v>
      </c>
      <c r="B1124" s="225"/>
      <c r="C1124" s="228"/>
      <c r="D1124" s="219" t="s">
        <v>2799</v>
      </c>
    </row>
    <row r="1125" spans="1:4" ht="50.1" customHeight="1" thickBot="1" x14ac:dyDescent="0.3">
      <c r="A1125" t="str">
        <f t="shared" si="17"/>
        <v>87.10.10 Drift af plejehjem</v>
      </c>
      <c r="B1125" s="215" t="s">
        <v>2800</v>
      </c>
      <c r="C1125" s="216" t="s">
        <v>2801</v>
      </c>
      <c r="D1125" s="216" t="s">
        <v>2802</v>
      </c>
    </row>
    <row r="1126" spans="1:4" ht="50.1" customHeight="1" x14ac:dyDescent="0.25">
      <c r="A1126" t="str">
        <f t="shared" si="17"/>
        <v>87.10.20 Institutionsophold med sygepleje i.a.n.</v>
      </c>
      <c r="B1126" s="223" t="s">
        <v>2803</v>
      </c>
      <c r="C1126" s="226" t="s">
        <v>2804</v>
      </c>
      <c r="D1126" s="217" t="s">
        <v>2805</v>
      </c>
    </row>
    <row r="1127" spans="1:4" ht="50.1" customHeight="1" x14ac:dyDescent="0.25">
      <c r="A1127" t="str">
        <f t="shared" si="17"/>
        <v xml:space="preserve"> </v>
      </c>
      <c r="B1127" s="224"/>
      <c r="C1127" s="227"/>
      <c r="D1127" s="218"/>
    </row>
    <row r="1128" spans="1:4" ht="50.1" customHeight="1" thickBot="1" x14ac:dyDescent="0.3">
      <c r="A1128" t="str">
        <f t="shared" si="17"/>
        <v xml:space="preserve"> </v>
      </c>
      <c r="B1128" s="225"/>
      <c r="C1128" s="228"/>
      <c r="D1128" s="219" t="s">
        <v>2806</v>
      </c>
    </row>
    <row r="1129" spans="1:4" ht="50.1" customHeight="1" thickBot="1" x14ac:dyDescent="0.3">
      <c r="A1129" t="str">
        <f t="shared" si="17"/>
        <v>87.20.10 Drift af døgninstitutioner for personer med psykiske handicap</v>
      </c>
      <c r="B1129" s="215" t="s">
        <v>2807</v>
      </c>
      <c r="C1129" s="216" t="s">
        <v>2808</v>
      </c>
      <c r="D1129" s="216" t="s">
        <v>2809</v>
      </c>
    </row>
    <row r="1130" spans="1:4" ht="50.1" customHeight="1" thickBot="1" x14ac:dyDescent="0.3">
      <c r="A1130" t="str">
        <f t="shared" si="17"/>
        <v>87.20.20 Drift af behandlingshjem for stofmisbrugere og alkoholskadede</v>
      </c>
      <c r="B1130" s="215" t="s">
        <v>2810</v>
      </c>
      <c r="C1130" s="216" t="s">
        <v>2811</v>
      </c>
      <c r="D1130" s="216" t="s">
        <v>2812</v>
      </c>
    </row>
    <row r="1131" spans="1:4" ht="50.1" customHeight="1" thickBot="1" x14ac:dyDescent="0.3">
      <c r="A1131" t="str">
        <f t="shared" si="17"/>
        <v>87.30.10 Drift af døgninstitutioner for personer med fysisk handicap</v>
      </c>
      <c r="B1131" s="215" t="s">
        <v>2813</v>
      </c>
      <c r="C1131" s="216" t="s">
        <v>2814</v>
      </c>
      <c r="D1131" s="216" t="s">
        <v>2815</v>
      </c>
    </row>
    <row r="1132" spans="1:4" ht="50.1" customHeight="1" x14ac:dyDescent="0.25">
      <c r="A1132" t="str">
        <f t="shared" si="17"/>
        <v>87.30.20 Drift af beskyttede boliger o. lign.</v>
      </c>
      <c r="B1132" s="223" t="s">
        <v>2816</v>
      </c>
      <c r="C1132" s="226" t="s">
        <v>2817</v>
      </c>
      <c r="D1132" s="217" t="s">
        <v>2818</v>
      </c>
    </row>
    <row r="1133" spans="1:4" ht="50.1" customHeight="1" x14ac:dyDescent="0.25">
      <c r="A1133" t="str">
        <f t="shared" si="17"/>
        <v xml:space="preserve"> </v>
      </c>
      <c r="B1133" s="224"/>
      <c r="C1133" s="227"/>
      <c r="D1133" s="218"/>
    </row>
    <row r="1134" spans="1:4" ht="50.1" customHeight="1" thickBot="1" x14ac:dyDescent="0.3">
      <c r="A1134" t="str">
        <f t="shared" si="17"/>
        <v xml:space="preserve"> </v>
      </c>
      <c r="B1134" s="225"/>
      <c r="C1134" s="228"/>
      <c r="D1134" s="219" t="s">
        <v>2819</v>
      </c>
    </row>
    <row r="1135" spans="1:4" ht="50.1" customHeight="1" thickBot="1" x14ac:dyDescent="0.3">
      <c r="A1135" t="str">
        <f t="shared" si="17"/>
        <v>87.91.00 Formidlingsaktiviteter i forbindelse med institutionsophold</v>
      </c>
      <c r="B1135" s="215" t="s">
        <v>2820</v>
      </c>
      <c r="C1135" s="216" t="s">
        <v>2821</v>
      </c>
      <c r="D1135" s="216" t="s">
        <v>2822</v>
      </c>
    </row>
    <row r="1136" spans="1:4" ht="50.1" customHeight="1" x14ac:dyDescent="0.25">
      <c r="A1136" t="str">
        <f t="shared" si="17"/>
        <v>87.99.10 Drift af døgninstitutioner for børn og unge</v>
      </c>
      <c r="B1136" s="223" t="s">
        <v>2823</v>
      </c>
      <c r="C1136" s="226" t="s">
        <v>2824</v>
      </c>
      <c r="D1136" s="217" t="s">
        <v>2825</v>
      </c>
    </row>
    <row r="1137" spans="1:4" ht="50.1" customHeight="1" x14ac:dyDescent="0.25">
      <c r="A1137" t="str">
        <f t="shared" si="17"/>
        <v xml:space="preserve"> </v>
      </c>
      <c r="B1137" s="224"/>
      <c r="C1137" s="227"/>
      <c r="D1137" s="218"/>
    </row>
    <row r="1138" spans="1:4" ht="50.1" customHeight="1" thickBot="1" x14ac:dyDescent="0.3">
      <c r="A1138" t="str">
        <f t="shared" si="17"/>
        <v xml:space="preserve"> </v>
      </c>
      <c r="B1138" s="225"/>
      <c r="C1138" s="228"/>
      <c r="D1138" s="219" t="s">
        <v>2826</v>
      </c>
    </row>
    <row r="1139" spans="1:4" ht="50.1" customHeight="1" x14ac:dyDescent="0.25">
      <c r="A1139" t="str">
        <f t="shared" si="17"/>
        <v>87.99.20 Familiepleje</v>
      </c>
      <c r="B1139" s="223" t="s">
        <v>2827</v>
      </c>
      <c r="C1139" s="226" t="s">
        <v>2828</v>
      </c>
      <c r="D1139" s="217" t="s">
        <v>2829</v>
      </c>
    </row>
    <row r="1140" spans="1:4" ht="50.1" customHeight="1" x14ac:dyDescent="0.25">
      <c r="A1140" t="str">
        <f t="shared" si="17"/>
        <v xml:space="preserve"> </v>
      </c>
      <c r="B1140" s="224"/>
      <c r="C1140" s="227"/>
      <c r="D1140" s="218"/>
    </row>
    <row r="1141" spans="1:4" ht="50.1" customHeight="1" thickBot="1" x14ac:dyDescent="0.3">
      <c r="A1141" t="str">
        <f t="shared" si="17"/>
        <v xml:space="preserve"> </v>
      </c>
      <c r="B1141" s="225"/>
      <c r="C1141" s="228"/>
      <c r="D1141" s="219" t="s">
        <v>2830</v>
      </c>
    </row>
    <row r="1142" spans="1:4" ht="50.1" customHeight="1" thickBot="1" x14ac:dyDescent="0.3">
      <c r="A1142" t="str">
        <f t="shared" si="17"/>
        <v>87.99.30 Drift af flygtninge- og asylcentre</v>
      </c>
      <c r="B1142" s="215" t="s">
        <v>2831</v>
      </c>
      <c r="C1142" s="216" t="s">
        <v>2832</v>
      </c>
      <c r="D1142" s="216" t="s">
        <v>2833</v>
      </c>
    </row>
    <row r="1143" spans="1:4" ht="50.1" customHeight="1" x14ac:dyDescent="0.25">
      <c r="A1143" t="str">
        <f t="shared" si="17"/>
        <v>87.99.90 Drift af andre former for institutionsophold</v>
      </c>
      <c r="B1143" s="223" t="s">
        <v>2834</v>
      </c>
      <c r="C1143" s="226" t="s">
        <v>2835</v>
      </c>
      <c r="D1143" s="217" t="s">
        <v>2836</v>
      </c>
    </row>
    <row r="1144" spans="1:4" ht="50.1" customHeight="1" x14ac:dyDescent="0.25">
      <c r="A1144" t="str">
        <f t="shared" si="17"/>
        <v xml:space="preserve"> </v>
      </c>
      <c r="B1144" s="224"/>
      <c r="C1144" s="227"/>
      <c r="D1144" s="218"/>
    </row>
    <row r="1145" spans="1:4" ht="50.1" customHeight="1" thickBot="1" x14ac:dyDescent="0.3">
      <c r="A1145" t="str">
        <f t="shared" si="17"/>
        <v xml:space="preserve"> </v>
      </c>
      <c r="B1145" s="225"/>
      <c r="C1145" s="228"/>
      <c r="D1145" s="219" t="s">
        <v>2837</v>
      </c>
    </row>
    <row r="1146" spans="1:4" ht="50.1" customHeight="1" x14ac:dyDescent="0.25">
      <c r="A1146" t="str">
        <f t="shared" si="17"/>
        <v>88.10.10 Drift af hjemmehjælp</v>
      </c>
      <c r="B1146" s="223" t="s">
        <v>2838</v>
      </c>
      <c r="C1146" s="226" t="s">
        <v>2839</v>
      </c>
      <c r="D1146" s="217" t="s">
        <v>2840</v>
      </c>
    </row>
    <row r="1147" spans="1:4" ht="50.1" customHeight="1" x14ac:dyDescent="0.25">
      <c r="A1147" t="str">
        <f t="shared" si="17"/>
        <v xml:space="preserve"> </v>
      </c>
      <c r="B1147" s="224"/>
      <c r="C1147" s="227"/>
      <c r="D1147" s="218"/>
    </row>
    <row r="1148" spans="1:4" ht="50.1" customHeight="1" thickBot="1" x14ac:dyDescent="0.3">
      <c r="A1148" t="str">
        <f t="shared" si="17"/>
        <v xml:space="preserve"> </v>
      </c>
      <c r="B1148" s="225"/>
      <c r="C1148" s="228"/>
      <c r="D1148" s="219" t="s">
        <v>2841</v>
      </c>
    </row>
    <row r="1149" spans="1:4" ht="50.1" customHeight="1" x14ac:dyDescent="0.25">
      <c r="A1149" t="str">
        <f t="shared" si="17"/>
        <v>88.10.20 Drift af dagcentre mv.</v>
      </c>
      <c r="B1149" s="223" t="s">
        <v>2842</v>
      </c>
      <c r="C1149" s="226" t="s">
        <v>2843</v>
      </c>
      <c r="D1149" s="217" t="s">
        <v>2844</v>
      </c>
    </row>
    <row r="1150" spans="1:4" ht="50.1" customHeight="1" x14ac:dyDescent="0.25">
      <c r="A1150" t="str">
        <f t="shared" si="17"/>
        <v xml:space="preserve"> </v>
      </c>
      <c r="B1150" s="224"/>
      <c r="C1150" s="227"/>
      <c r="D1150" s="218"/>
    </row>
    <row r="1151" spans="1:4" ht="50.1" customHeight="1" thickBot="1" x14ac:dyDescent="0.3">
      <c r="A1151" t="str">
        <f t="shared" si="17"/>
        <v xml:space="preserve"> </v>
      </c>
      <c r="B1151" s="225"/>
      <c r="C1151" s="228"/>
      <c r="D1151" s="219" t="s">
        <v>2845</v>
      </c>
    </row>
    <row r="1152" spans="1:4" ht="50.1" customHeight="1" x14ac:dyDescent="0.25">
      <c r="A1152" t="str">
        <f t="shared" si="17"/>
        <v>88.10.30 Drift af revalideringsinstitutioner</v>
      </c>
      <c r="B1152" s="223" t="s">
        <v>2846</v>
      </c>
      <c r="C1152" s="226" t="s">
        <v>2847</v>
      </c>
      <c r="D1152" s="217" t="s">
        <v>2848</v>
      </c>
    </row>
    <row r="1153" spans="1:4" ht="50.1" customHeight="1" x14ac:dyDescent="0.25">
      <c r="A1153" t="str">
        <f t="shared" si="17"/>
        <v xml:space="preserve"> </v>
      </c>
      <c r="B1153" s="224"/>
      <c r="C1153" s="227"/>
      <c r="D1153" s="218"/>
    </row>
    <row r="1154" spans="1:4" ht="50.1" customHeight="1" thickBot="1" x14ac:dyDescent="0.3">
      <c r="A1154" t="str">
        <f t="shared" si="17"/>
        <v xml:space="preserve"> </v>
      </c>
      <c r="B1154" s="225"/>
      <c r="C1154" s="228"/>
      <c r="D1154" s="219" t="s">
        <v>2849</v>
      </c>
    </row>
    <row r="1155" spans="1:4" ht="50.1" customHeight="1" thickBot="1" x14ac:dyDescent="0.3">
      <c r="A1155" t="str">
        <f t="shared" ref="A1155:A1218" si="18">B1155 &amp; " " &amp; C1155</f>
        <v>88.91.10 Drift af dagpleje</v>
      </c>
      <c r="B1155" s="215" t="s">
        <v>2850</v>
      </c>
      <c r="C1155" s="216" t="s">
        <v>2851</v>
      </c>
      <c r="D1155" s="216" t="s">
        <v>2852</v>
      </c>
    </row>
    <row r="1156" spans="1:4" ht="50.1" customHeight="1" x14ac:dyDescent="0.25">
      <c r="A1156" t="str">
        <f t="shared" si="18"/>
        <v>88.91.20 Drift af vuggestuer</v>
      </c>
      <c r="B1156" s="223" t="s">
        <v>2853</v>
      </c>
      <c r="C1156" s="226" t="s">
        <v>2854</v>
      </c>
      <c r="D1156" s="217" t="s">
        <v>2855</v>
      </c>
    </row>
    <row r="1157" spans="1:4" ht="50.1" customHeight="1" x14ac:dyDescent="0.25">
      <c r="A1157" t="str">
        <f t="shared" si="18"/>
        <v xml:space="preserve"> </v>
      </c>
      <c r="B1157" s="224"/>
      <c r="C1157" s="227"/>
      <c r="D1157" s="218"/>
    </row>
    <row r="1158" spans="1:4" ht="50.1" customHeight="1" thickBot="1" x14ac:dyDescent="0.3">
      <c r="A1158" t="str">
        <f t="shared" si="18"/>
        <v xml:space="preserve"> </v>
      </c>
      <c r="B1158" s="225"/>
      <c r="C1158" s="228"/>
      <c r="D1158" s="219" t="s">
        <v>2856</v>
      </c>
    </row>
    <row r="1159" spans="1:4" ht="50.1" customHeight="1" x14ac:dyDescent="0.25">
      <c r="A1159" t="str">
        <f t="shared" si="18"/>
        <v>88.91.30 Drift af børnehaver</v>
      </c>
      <c r="B1159" s="223" t="s">
        <v>2857</v>
      </c>
      <c r="C1159" s="226" t="s">
        <v>2858</v>
      </c>
      <c r="D1159" s="217" t="s">
        <v>2859</v>
      </c>
    </row>
    <row r="1160" spans="1:4" ht="50.1" customHeight="1" x14ac:dyDescent="0.25">
      <c r="A1160" t="str">
        <f t="shared" si="18"/>
        <v xml:space="preserve"> </v>
      </c>
      <c r="B1160" s="224"/>
      <c r="C1160" s="227"/>
      <c r="D1160" s="218"/>
    </row>
    <row r="1161" spans="1:4" ht="50.1" customHeight="1" thickBot="1" x14ac:dyDescent="0.3">
      <c r="A1161" t="str">
        <f t="shared" si="18"/>
        <v xml:space="preserve"> </v>
      </c>
      <c r="B1161" s="225"/>
      <c r="C1161" s="228"/>
      <c r="D1161" s="219" t="s">
        <v>2856</v>
      </c>
    </row>
    <row r="1162" spans="1:4" ht="50.1" customHeight="1" thickBot="1" x14ac:dyDescent="0.3">
      <c r="A1162" t="str">
        <f t="shared" si="18"/>
        <v>88.91.40 Drift af skolefritidsordninger og fritidshjem</v>
      </c>
      <c r="B1162" s="215" t="s">
        <v>2860</v>
      </c>
      <c r="C1162" s="216" t="s">
        <v>2861</v>
      </c>
      <c r="D1162" s="216" t="s">
        <v>2862</v>
      </c>
    </row>
    <row r="1163" spans="1:4" ht="50.1" customHeight="1" thickBot="1" x14ac:dyDescent="0.3">
      <c r="A1163" t="str">
        <f t="shared" si="18"/>
        <v>88.91.50 Drift af aldersintegrerede institutioner</v>
      </c>
      <c r="B1163" s="215" t="s">
        <v>2863</v>
      </c>
      <c r="C1163" s="216" t="s">
        <v>2864</v>
      </c>
      <c r="D1163" s="216" t="s">
        <v>2865</v>
      </c>
    </row>
    <row r="1164" spans="1:4" ht="50.1" customHeight="1" x14ac:dyDescent="0.25">
      <c r="A1164" t="str">
        <f t="shared" si="18"/>
        <v>88.91.60 Drift af fritids- og ungdomsklubber</v>
      </c>
      <c r="B1164" s="223" t="s">
        <v>2866</v>
      </c>
      <c r="C1164" s="226" t="s">
        <v>2867</v>
      </c>
      <c r="D1164" s="217" t="s">
        <v>2868</v>
      </c>
    </row>
    <row r="1165" spans="1:4" ht="50.1" customHeight="1" x14ac:dyDescent="0.25">
      <c r="A1165" t="str">
        <f t="shared" si="18"/>
        <v xml:space="preserve"> </v>
      </c>
      <c r="B1165" s="224"/>
      <c r="C1165" s="227"/>
      <c r="D1165" s="218"/>
    </row>
    <row r="1166" spans="1:4" ht="50.1" customHeight="1" thickBot="1" x14ac:dyDescent="0.3">
      <c r="A1166" t="str">
        <f t="shared" si="18"/>
        <v xml:space="preserve"> </v>
      </c>
      <c r="B1166" s="225"/>
      <c r="C1166" s="228"/>
      <c r="D1166" s="219" t="s">
        <v>2869</v>
      </c>
    </row>
    <row r="1167" spans="1:4" ht="50.1" customHeight="1" thickBot="1" x14ac:dyDescent="0.3">
      <c r="A1167" t="str">
        <f t="shared" si="18"/>
        <v>88.99.10 Støtteaktiviteter relateret til sygdomsbekæmpende, sociale og velgørende formål</v>
      </c>
      <c r="B1167" s="215" t="s">
        <v>2870</v>
      </c>
      <c r="C1167" s="216" t="s">
        <v>2871</v>
      </c>
      <c r="D1167" s="216" t="s">
        <v>2872</v>
      </c>
    </row>
    <row r="1168" spans="1:4" ht="50.1" customHeight="1" thickBot="1" x14ac:dyDescent="0.3">
      <c r="A1168" t="str">
        <f t="shared" si="18"/>
        <v>88.99.20 Aktiviteter til støtte for flygtninge- og katastrofeofre mv.</v>
      </c>
      <c r="B1168" s="215" t="s">
        <v>2873</v>
      </c>
      <c r="C1168" s="216" t="s">
        <v>2874</v>
      </c>
      <c r="D1168" s="216" t="s">
        <v>2875</v>
      </c>
    </row>
    <row r="1169" spans="1:4" ht="50.1" customHeight="1" thickBot="1" x14ac:dyDescent="0.3">
      <c r="A1169" t="str">
        <f t="shared" si="18"/>
        <v>88.99.90 Andre sociale støtte- og rådgivningsaktiviteter uden institutionsophold</v>
      </c>
      <c r="B1169" s="215" t="s">
        <v>2876</v>
      </c>
      <c r="C1169" s="216" t="s">
        <v>2877</v>
      </c>
      <c r="D1169" s="216" t="s">
        <v>2878</v>
      </c>
    </row>
    <row r="1170" spans="1:4" ht="50.1" customHeight="1" thickBot="1" x14ac:dyDescent="0.3">
      <c r="A1170" t="str">
        <f t="shared" si="18"/>
        <v>90.11.00 Litteratur- og musikkomposition</v>
      </c>
      <c r="B1170" s="215" t="s">
        <v>2879</v>
      </c>
      <c r="C1170" s="216" t="s">
        <v>2880</v>
      </c>
      <c r="D1170" s="216" t="s">
        <v>2881</v>
      </c>
    </row>
    <row r="1171" spans="1:4" ht="50.1" customHeight="1" thickBot="1" x14ac:dyDescent="0.3">
      <c r="A1171" t="str">
        <f t="shared" si="18"/>
        <v>90.12.00 Billedkunstnerisk skaben</v>
      </c>
      <c r="B1171" s="215" t="s">
        <v>2882</v>
      </c>
      <c r="C1171" s="216" t="s">
        <v>2883</v>
      </c>
      <c r="D1171" s="216" t="s">
        <v>2884</v>
      </c>
    </row>
    <row r="1172" spans="1:4" ht="50.1" customHeight="1" thickBot="1" x14ac:dyDescent="0.3">
      <c r="A1172" t="str">
        <f t="shared" si="18"/>
        <v>90.13.00 Anden kunstnerisk skaben</v>
      </c>
      <c r="B1172" s="215" t="s">
        <v>2885</v>
      </c>
      <c r="C1172" s="216" t="s">
        <v>2886</v>
      </c>
      <c r="D1172" s="216" t="s">
        <v>2887</v>
      </c>
    </row>
    <row r="1173" spans="1:4" ht="50.1" customHeight="1" thickBot="1" x14ac:dyDescent="0.3">
      <c r="A1173" t="str">
        <f t="shared" si="18"/>
        <v>90.20.10 Teater- og koncertproduktioner</v>
      </c>
      <c r="B1173" s="215" t="s">
        <v>2888</v>
      </c>
      <c r="C1173" s="216" t="s">
        <v>2889</v>
      </c>
      <c r="D1173" s="216" t="s">
        <v>2890</v>
      </c>
    </row>
    <row r="1174" spans="1:4" ht="50.1" customHeight="1" x14ac:dyDescent="0.25">
      <c r="A1174" t="str">
        <f t="shared" si="18"/>
        <v>90.20.20 Selvstændigt udøvende scenekunstnere</v>
      </c>
      <c r="B1174" s="223" t="s">
        <v>2891</v>
      </c>
      <c r="C1174" s="226" t="s">
        <v>2892</v>
      </c>
      <c r="D1174" s="217" t="s">
        <v>2893</v>
      </c>
    </row>
    <row r="1175" spans="1:4" ht="50.1" customHeight="1" x14ac:dyDescent="0.25">
      <c r="A1175" t="str">
        <f t="shared" si="18"/>
        <v xml:space="preserve"> </v>
      </c>
      <c r="B1175" s="224"/>
      <c r="C1175" s="227"/>
      <c r="D1175" s="218"/>
    </row>
    <row r="1176" spans="1:4" ht="50.1" customHeight="1" thickBot="1" x14ac:dyDescent="0.3">
      <c r="A1176" t="str">
        <f t="shared" si="18"/>
        <v xml:space="preserve"> </v>
      </c>
      <c r="B1176" s="225"/>
      <c r="C1176" s="228"/>
      <c r="D1176" s="219" t="s">
        <v>2894</v>
      </c>
    </row>
    <row r="1177" spans="1:4" ht="50.1" customHeight="1" thickBot="1" x14ac:dyDescent="0.3">
      <c r="A1177" t="str">
        <f t="shared" si="18"/>
        <v>90.31.00 Drift af teater- og koncertsale, kulturhuse mv.</v>
      </c>
      <c r="B1177" s="215" t="s">
        <v>2895</v>
      </c>
      <c r="C1177" s="216" t="s">
        <v>2896</v>
      </c>
      <c r="D1177" s="216" t="s">
        <v>2897</v>
      </c>
    </row>
    <row r="1178" spans="1:4" ht="50.1" customHeight="1" x14ac:dyDescent="0.25">
      <c r="A1178" t="str">
        <f t="shared" si="18"/>
        <v>90.39.10 Teknisk planlægning, levering, opsætning og betjening af udstyr til events</v>
      </c>
      <c r="B1178" s="223" t="s">
        <v>2898</v>
      </c>
      <c r="C1178" s="226" t="s">
        <v>2899</v>
      </c>
      <c r="D1178" s="217" t="s">
        <v>2900</v>
      </c>
    </row>
    <row r="1179" spans="1:4" ht="50.1" customHeight="1" x14ac:dyDescent="0.25">
      <c r="A1179" t="str">
        <f t="shared" si="18"/>
        <v xml:space="preserve"> </v>
      </c>
      <c r="B1179" s="224"/>
      <c r="C1179" s="227"/>
      <c r="D1179" s="218"/>
    </row>
    <row r="1180" spans="1:4" ht="50.1" customHeight="1" thickBot="1" x14ac:dyDescent="0.3">
      <c r="A1180" t="str">
        <f t="shared" si="18"/>
        <v xml:space="preserve"> </v>
      </c>
      <c r="B1180" s="225"/>
      <c r="C1180" s="228"/>
      <c r="D1180" s="219" t="s">
        <v>2901</v>
      </c>
    </row>
    <row r="1181" spans="1:4" ht="50.1" customHeight="1" x14ac:dyDescent="0.25">
      <c r="A1181" t="str">
        <f t="shared" si="18"/>
        <v>90.39.20 Levering af andre serviceydelser i forbindelse med kunstnerisk skaben og scenekunst i.a.n.</v>
      </c>
      <c r="B1181" s="223" t="s">
        <v>2902</v>
      </c>
      <c r="C1181" s="226" t="s">
        <v>2903</v>
      </c>
      <c r="D1181" s="217" t="s">
        <v>2904</v>
      </c>
    </row>
    <row r="1182" spans="1:4" ht="50.1" customHeight="1" x14ac:dyDescent="0.25">
      <c r="A1182" t="str">
        <f t="shared" si="18"/>
        <v xml:space="preserve"> </v>
      </c>
      <c r="B1182" s="224"/>
      <c r="C1182" s="227"/>
      <c r="D1182" s="218"/>
    </row>
    <row r="1183" spans="1:4" ht="50.1" customHeight="1" thickBot="1" x14ac:dyDescent="0.3">
      <c r="A1183" t="str">
        <f t="shared" si="18"/>
        <v xml:space="preserve"> </v>
      </c>
      <c r="B1183" s="225"/>
      <c r="C1183" s="228"/>
      <c r="D1183" s="219" t="s">
        <v>2894</v>
      </c>
    </row>
    <row r="1184" spans="1:4" ht="50.1" customHeight="1" thickBot="1" x14ac:dyDescent="0.3">
      <c r="A1184" t="str">
        <f t="shared" si="18"/>
        <v>91.11.00 Biblioteksaktiviteter</v>
      </c>
      <c r="B1184" s="215" t="s">
        <v>2905</v>
      </c>
      <c r="C1184" s="216" t="s">
        <v>2906</v>
      </c>
      <c r="D1184" s="216" t="s">
        <v>2907</v>
      </c>
    </row>
    <row r="1185" spans="1:4" ht="50.1" customHeight="1" x14ac:dyDescent="0.25">
      <c r="A1185" t="str">
        <f t="shared" si="18"/>
        <v>91.12.00 Arkivaktiviteter</v>
      </c>
      <c r="B1185" s="223" t="s">
        <v>2908</v>
      </c>
      <c r="C1185" s="226" t="s">
        <v>2909</v>
      </c>
      <c r="D1185" s="217" t="s">
        <v>2910</v>
      </c>
    </row>
    <row r="1186" spans="1:4" ht="50.1" customHeight="1" x14ac:dyDescent="0.25">
      <c r="A1186" t="str">
        <f t="shared" si="18"/>
        <v xml:space="preserve"> </v>
      </c>
      <c r="B1186" s="224"/>
      <c r="C1186" s="227"/>
      <c r="D1186" s="218"/>
    </row>
    <row r="1187" spans="1:4" ht="50.1" customHeight="1" thickBot="1" x14ac:dyDescent="0.3">
      <c r="A1187" t="str">
        <f t="shared" si="18"/>
        <v xml:space="preserve"> </v>
      </c>
      <c r="B1187" s="225"/>
      <c r="C1187" s="228"/>
      <c r="D1187" s="219" t="s">
        <v>2911</v>
      </c>
    </row>
    <row r="1188" spans="1:4" ht="50.1" customHeight="1" thickBot="1" x14ac:dyDescent="0.3">
      <c r="A1188" t="str">
        <f t="shared" si="18"/>
        <v>91.21.00 Museumsaktiviteter og aktiviteter i forbindelse med samlinger</v>
      </c>
      <c r="B1188" s="215" t="s">
        <v>2912</v>
      </c>
      <c r="C1188" s="216" t="s">
        <v>2913</v>
      </c>
      <c r="D1188" s="216" t="s">
        <v>2914</v>
      </c>
    </row>
    <row r="1189" spans="1:4" ht="50.1" customHeight="1" x14ac:dyDescent="0.25">
      <c r="A1189" t="str">
        <f t="shared" si="18"/>
        <v>91.22.00 Drift og bevarelse af fortidsminder, mindesmærker mv.</v>
      </c>
      <c r="B1189" s="223" t="s">
        <v>2915</v>
      </c>
      <c r="C1189" s="226" t="s">
        <v>2916</v>
      </c>
      <c r="D1189" s="217" t="s">
        <v>2917</v>
      </c>
    </row>
    <row r="1190" spans="1:4" ht="50.1" customHeight="1" x14ac:dyDescent="0.25">
      <c r="A1190" t="str">
        <f t="shared" si="18"/>
        <v xml:space="preserve"> </v>
      </c>
      <c r="B1190" s="224"/>
      <c r="C1190" s="227"/>
      <c r="D1190" s="218"/>
    </row>
    <row r="1191" spans="1:4" ht="50.1" customHeight="1" thickBot="1" x14ac:dyDescent="0.3">
      <c r="A1191" t="str">
        <f t="shared" si="18"/>
        <v xml:space="preserve"> </v>
      </c>
      <c r="B1191" s="225"/>
      <c r="C1191" s="228"/>
      <c r="D1191" s="219" t="s">
        <v>2918</v>
      </c>
    </row>
    <row r="1192" spans="1:4" ht="50.1" customHeight="1" x14ac:dyDescent="0.25">
      <c r="A1192" t="str">
        <f t="shared" si="18"/>
        <v>91.30.00 Konservering, restaurering og andre serviceydelser inden for kulturarv</v>
      </c>
      <c r="B1192" s="223" t="s">
        <v>2919</v>
      </c>
      <c r="C1192" s="226" t="s">
        <v>2920</v>
      </c>
      <c r="D1192" s="217" t="s">
        <v>2921</v>
      </c>
    </row>
    <row r="1193" spans="1:4" ht="50.1" customHeight="1" x14ac:dyDescent="0.25">
      <c r="A1193" t="str">
        <f t="shared" si="18"/>
        <v xml:space="preserve"> </v>
      </c>
      <c r="B1193" s="224"/>
      <c r="C1193" s="227"/>
      <c r="D1193" s="218"/>
    </row>
    <row r="1194" spans="1:4" ht="50.1" customHeight="1" thickBot="1" x14ac:dyDescent="0.3">
      <c r="A1194" t="str">
        <f t="shared" si="18"/>
        <v xml:space="preserve"> </v>
      </c>
      <c r="B1194" s="225"/>
      <c r="C1194" s="228"/>
      <c r="D1194" s="219" t="s">
        <v>2918</v>
      </c>
    </row>
    <row r="1195" spans="1:4" ht="50.1" customHeight="1" thickBot="1" x14ac:dyDescent="0.3">
      <c r="A1195" t="str">
        <f t="shared" si="18"/>
        <v>91.41.00 Drift af botaniske og zoologiske haver</v>
      </c>
      <c r="B1195" s="215" t="s">
        <v>2922</v>
      </c>
      <c r="C1195" s="216" t="s">
        <v>2923</v>
      </c>
      <c r="D1195" s="216" t="s">
        <v>2924</v>
      </c>
    </row>
    <row r="1196" spans="1:4" ht="50.1" customHeight="1" thickBot="1" x14ac:dyDescent="0.3">
      <c r="A1196" t="str">
        <f t="shared" si="18"/>
        <v>91.42.00 Drift af naturreservater</v>
      </c>
      <c r="B1196" s="215" t="s">
        <v>2925</v>
      </c>
      <c r="C1196" s="216" t="s">
        <v>2926</v>
      </c>
      <c r="D1196" s="216" t="s">
        <v>2927</v>
      </c>
    </row>
    <row r="1197" spans="1:4" ht="50.1" customHeight="1" thickBot="1" x14ac:dyDescent="0.3">
      <c r="A1197" t="str">
        <f t="shared" si="18"/>
        <v>92.00.00 Lotteri- og andre spilleaktiviteter</v>
      </c>
      <c r="B1197" s="215" t="s">
        <v>2928</v>
      </c>
      <c r="C1197" s="216" t="s">
        <v>2929</v>
      </c>
      <c r="D1197" s="216" t="s">
        <v>2930</v>
      </c>
    </row>
    <row r="1198" spans="1:4" ht="50.1" customHeight="1" thickBot="1" x14ac:dyDescent="0.3">
      <c r="A1198" t="str">
        <f t="shared" si="18"/>
        <v>93.11.00 Drift af sportsanlæg</v>
      </c>
      <c r="B1198" s="215" t="s">
        <v>2931</v>
      </c>
      <c r="C1198" s="216" t="s">
        <v>2932</v>
      </c>
      <c r="D1198" s="216" t="s">
        <v>2933</v>
      </c>
    </row>
    <row r="1199" spans="1:4" ht="50.1" customHeight="1" x14ac:dyDescent="0.25">
      <c r="A1199" t="str">
        <f t="shared" si="18"/>
        <v>93.12.00 Drift af sportsklubber</v>
      </c>
      <c r="B1199" s="223" t="s">
        <v>2934</v>
      </c>
      <c r="C1199" s="226" t="s">
        <v>2935</v>
      </c>
      <c r="D1199" s="217" t="s">
        <v>2936</v>
      </c>
    </row>
    <row r="1200" spans="1:4" ht="50.1" customHeight="1" x14ac:dyDescent="0.25">
      <c r="A1200" t="str">
        <f t="shared" si="18"/>
        <v xml:space="preserve"> </v>
      </c>
      <c r="B1200" s="224"/>
      <c r="C1200" s="227"/>
      <c r="D1200" s="218"/>
    </row>
    <row r="1201" spans="1:4" ht="50.1" customHeight="1" thickBot="1" x14ac:dyDescent="0.3">
      <c r="A1201" t="str">
        <f t="shared" si="18"/>
        <v xml:space="preserve"> </v>
      </c>
      <c r="B1201" s="225"/>
      <c r="C1201" s="228"/>
      <c r="D1201" s="219" t="s">
        <v>2937</v>
      </c>
    </row>
    <row r="1202" spans="1:4" ht="50.1" customHeight="1" thickBot="1" x14ac:dyDescent="0.3">
      <c r="A1202" t="str">
        <f t="shared" si="18"/>
        <v>93.13.00 Drift af fitnesscentre</v>
      </c>
      <c r="B1202" s="215" t="s">
        <v>2938</v>
      </c>
      <c r="C1202" s="216" t="s">
        <v>2939</v>
      </c>
      <c r="D1202" s="216" t="s">
        <v>2940</v>
      </c>
    </row>
    <row r="1203" spans="1:4" ht="50.1" customHeight="1" x14ac:dyDescent="0.25">
      <c r="A1203" t="str">
        <f t="shared" si="18"/>
        <v>93.19.00 Sportsaktiviteter i.a.n.</v>
      </c>
      <c r="B1203" s="223" t="s">
        <v>2941</v>
      </c>
      <c r="C1203" s="226" t="s">
        <v>2942</v>
      </c>
      <c r="D1203" s="217" t="s">
        <v>2943</v>
      </c>
    </row>
    <row r="1204" spans="1:4" ht="50.1" customHeight="1" x14ac:dyDescent="0.25">
      <c r="A1204" t="str">
        <f t="shared" si="18"/>
        <v xml:space="preserve"> </v>
      </c>
      <c r="B1204" s="224"/>
      <c r="C1204" s="227"/>
      <c r="D1204" s="218"/>
    </row>
    <row r="1205" spans="1:4" ht="50.1" customHeight="1" thickBot="1" x14ac:dyDescent="0.3">
      <c r="A1205" t="str">
        <f t="shared" si="18"/>
        <v xml:space="preserve"> </v>
      </c>
      <c r="B1205" s="225"/>
      <c r="C1205" s="228"/>
      <c r="D1205" s="219" t="s">
        <v>2944</v>
      </c>
    </row>
    <row r="1206" spans="1:4" ht="50.1" customHeight="1" x14ac:dyDescent="0.25">
      <c r="A1206" t="str">
        <f t="shared" si="18"/>
        <v>93.21.00 Drift af forlystelsesparker o.lign.</v>
      </c>
      <c r="B1206" s="223" t="s">
        <v>2945</v>
      </c>
      <c r="C1206" s="226" t="s">
        <v>2946</v>
      </c>
      <c r="D1206" s="217" t="s">
        <v>2947</v>
      </c>
    </row>
    <row r="1207" spans="1:4" ht="50.1" customHeight="1" x14ac:dyDescent="0.25">
      <c r="A1207" t="str">
        <f t="shared" si="18"/>
        <v xml:space="preserve"> </v>
      </c>
      <c r="B1207" s="224"/>
      <c r="C1207" s="227"/>
      <c r="D1207" s="218"/>
    </row>
    <row r="1208" spans="1:4" ht="50.1" customHeight="1" thickBot="1" x14ac:dyDescent="0.3">
      <c r="A1208" t="str">
        <f t="shared" si="18"/>
        <v xml:space="preserve"> </v>
      </c>
      <c r="B1208" s="225"/>
      <c r="C1208" s="228"/>
      <c r="D1208" s="219" t="s">
        <v>2948</v>
      </c>
    </row>
    <row r="1209" spans="1:4" ht="50.1" customHeight="1" thickBot="1" x14ac:dyDescent="0.3">
      <c r="A1209" t="str">
        <f t="shared" si="18"/>
        <v>93.29.10 Drift af lystbådehavne</v>
      </c>
      <c r="B1209" s="215" t="s">
        <v>2949</v>
      </c>
      <c r="C1209" s="216" t="s">
        <v>2950</v>
      </c>
      <c r="D1209" s="216" t="s">
        <v>2951</v>
      </c>
    </row>
    <row r="1210" spans="1:4" ht="50.1" customHeight="1" thickBot="1" x14ac:dyDescent="0.3">
      <c r="A1210" t="str">
        <f t="shared" si="18"/>
        <v>93.29.90 Drift af andre forlystelser og fritidsaktiviteter</v>
      </c>
      <c r="B1210" s="215" t="s">
        <v>2952</v>
      </c>
      <c r="C1210" s="216" t="s">
        <v>2953</v>
      </c>
      <c r="D1210" s="216" t="s">
        <v>2954</v>
      </c>
    </row>
    <row r="1211" spans="1:4" ht="50.1" customHeight="1" thickBot="1" x14ac:dyDescent="0.3">
      <c r="A1211" t="str">
        <f t="shared" si="18"/>
        <v>94.11.00 Erhvervs- og arbejdsgiverorganisationers aktiviteter</v>
      </c>
      <c r="B1211" s="215" t="s">
        <v>2955</v>
      </c>
      <c r="C1211" s="216" t="s">
        <v>2956</v>
      </c>
      <c r="D1211" s="216" t="s">
        <v>2957</v>
      </c>
    </row>
    <row r="1212" spans="1:4" ht="50.1" customHeight="1" thickBot="1" x14ac:dyDescent="0.3">
      <c r="A1212" t="str">
        <f t="shared" si="18"/>
        <v>94.12.00 Faglige sammenslutningers aktiviteter</v>
      </c>
      <c r="B1212" s="215" t="s">
        <v>2958</v>
      </c>
      <c r="C1212" s="216" t="s">
        <v>2959</v>
      </c>
      <c r="D1212" s="216" t="s">
        <v>2960</v>
      </c>
    </row>
    <row r="1213" spans="1:4" ht="50.1" customHeight="1" thickBot="1" x14ac:dyDescent="0.3">
      <c r="A1213" t="str">
        <f t="shared" si="18"/>
        <v>94.20.00 Fagforeningers aktiviteter</v>
      </c>
      <c r="B1213" s="215" t="s">
        <v>2961</v>
      </c>
      <c r="C1213" s="216" t="s">
        <v>2962</v>
      </c>
      <c r="D1213" s="216" t="s">
        <v>2963</v>
      </c>
    </row>
    <row r="1214" spans="1:4" ht="50.1" customHeight="1" thickBot="1" x14ac:dyDescent="0.3">
      <c r="A1214" t="str">
        <f t="shared" si="18"/>
        <v>94.91.00 Religiøse institutioners og foreningers aktiviteter</v>
      </c>
      <c r="B1214" s="215" t="s">
        <v>2964</v>
      </c>
      <c r="C1214" s="216" t="s">
        <v>2965</v>
      </c>
      <c r="D1214" s="216" t="s">
        <v>2966</v>
      </c>
    </row>
    <row r="1215" spans="1:4" ht="50.1" customHeight="1" thickBot="1" x14ac:dyDescent="0.3">
      <c r="A1215" t="str">
        <f t="shared" si="18"/>
        <v>94.92.00 Politiske partiers aktiviteter</v>
      </c>
      <c r="B1215" s="215" t="s">
        <v>2967</v>
      </c>
      <c r="C1215" s="216" t="s">
        <v>2968</v>
      </c>
      <c r="D1215" s="216" t="s">
        <v>2969</v>
      </c>
    </row>
    <row r="1216" spans="1:4" ht="50.1" customHeight="1" thickBot="1" x14ac:dyDescent="0.3">
      <c r="A1216" t="str">
        <f t="shared" si="18"/>
        <v>94.99.00 Andre organisationers og foreningers aktiviteter i.a.n.</v>
      </c>
      <c r="B1216" s="215" t="s">
        <v>2970</v>
      </c>
      <c r="C1216" s="216" t="s">
        <v>2971</v>
      </c>
      <c r="D1216" s="216" t="s">
        <v>2972</v>
      </c>
    </row>
    <row r="1217" spans="1:4" ht="50.1" customHeight="1" thickBot="1" x14ac:dyDescent="0.3">
      <c r="A1217" t="str">
        <f t="shared" si="18"/>
        <v>95.10.00 Reparation og vedligeholdelse af computere og kommunikationsudstyr</v>
      </c>
      <c r="B1217" s="215" t="s">
        <v>2973</v>
      </c>
      <c r="C1217" s="216" t="s">
        <v>2974</v>
      </c>
      <c r="D1217" s="216" t="s">
        <v>2975</v>
      </c>
    </row>
    <row r="1218" spans="1:4" ht="50.1" customHeight="1" thickBot="1" x14ac:dyDescent="0.3">
      <c r="A1218" t="str">
        <f t="shared" si="18"/>
        <v>95.21.00 Reparation og vedligeholdelse af forbrugerelektronik</v>
      </c>
      <c r="B1218" s="215" t="s">
        <v>2976</v>
      </c>
      <c r="C1218" s="216" t="s">
        <v>2977</v>
      </c>
      <c r="D1218" s="216" t="s">
        <v>2978</v>
      </c>
    </row>
    <row r="1219" spans="1:4" ht="50.1" customHeight="1" thickBot="1" x14ac:dyDescent="0.3">
      <c r="A1219" t="str">
        <f t="shared" ref="A1219:A1252" si="19">B1219 &amp; " " &amp; C1219</f>
        <v>95.22.00 Reparation og vedligeholdelse af husholdningsapparater og redskaber til hus og have</v>
      </c>
      <c r="B1219" s="215" t="s">
        <v>2979</v>
      </c>
      <c r="C1219" s="216" t="s">
        <v>2980</v>
      </c>
      <c r="D1219" s="216" t="s">
        <v>2981</v>
      </c>
    </row>
    <row r="1220" spans="1:4" ht="50.1" customHeight="1" thickBot="1" x14ac:dyDescent="0.3">
      <c r="A1220" t="str">
        <f t="shared" si="19"/>
        <v>95.23.00 Reparation og vedligeholdelse af fodtøj og lædervarer</v>
      </c>
      <c r="B1220" s="215" t="s">
        <v>2982</v>
      </c>
      <c r="C1220" s="216" t="s">
        <v>2983</v>
      </c>
      <c r="D1220" s="216" t="s">
        <v>2984</v>
      </c>
    </row>
    <row r="1221" spans="1:4" ht="50.1" customHeight="1" thickBot="1" x14ac:dyDescent="0.3">
      <c r="A1221" t="str">
        <f t="shared" si="19"/>
        <v>95.24.00 Reparation og vedligeholdelse af møbler og boligudstyr</v>
      </c>
      <c r="B1221" s="215" t="s">
        <v>2985</v>
      </c>
      <c r="C1221" s="216" t="s">
        <v>2986</v>
      </c>
      <c r="D1221" s="216" t="s">
        <v>2987</v>
      </c>
    </row>
    <row r="1222" spans="1:4" ht="50.1" customHeight="1" x14ac:dyDescent="0.25">
      <c r="A1222" t="str">
        <f t="shared" si="19"/>
        <v>95.25.00 Reparation og vedligeholdelse af ure og smykker</v>
      </c>
      <c r="B1222" s="223" t="s">
        <v>2988</v>
      </c>
      <c r="C1222" s="226" t="s">
        <v>2989</v>
      </c>
      <c r="D1222" s="217" t="s">
        <v>2990</v>
      </c>
    </row>
    <row r="1223" spans="1:4" ht="50.1" customHeight="1" x14ac:dyDescent="0.25">
      <c r="A1223" t="str">
        <f t="shared" si="19"/>
        <v xml:space="preserve"> </v>
      </c>
      <c r="B1223" s="224"/>
      <c r="C1223" s="227"/>
      <c r="D1223" s="218"/>
    </row>
    <row r="1224" spans="1:4" ht="50.1" customHeight="1" thickBot="1" x14ac:dyDescent="0.3">
      <c r="A1224" t="str">
        <f t="shared" si="19"/>
        <v xml:space="preserve"> </v>
      </c>
      <c r="B1224" s="225"/>
      <c r="C1224" s="228"/>
      <c r="D1224" s="219" t="s">
        <v>2991</v>
      </c>
    </row>
    <row r="1225" spans="1:4" ht="50.1" customHeight="1" thickBot="1" x14ac:dyDescent="0.3">
      <c r="A1225" t="str">
        <f t="shared" si="19"/>
        <v>95.29.00 Reparation og vedligeholdelse af varer til personlig brug og husholdningsbrug i.a.n.</v>
      </c>
      <c r="B1225" s="215" t="s">
        <v>2992</v>
      </c>
      <c r="C1225" s="216" t="s">
        <v>2993</v>
      </c>
      <c r="D1225" s="216" t="s">
        <v>2994</v>
      </c>
    </row>
    <row r="1226" spans="1:4" ht="50.1" customHeight="1" thickBot="1" x14ac:dyDescent="0.3">
      <c r="A1226" t="str">
        <f t="shared" si="19"/>
        <v>95.31.10 Dækservice</v>
      </c>
      <c r="B1226" s="215" t="s">
        <v>2995</v>
      </c>
      <c r="C1226" s="216" t="s">
        <v>2996</v>
      </c>
      <c r="D1226" s="216" t="s">
        <v>2997</v>
      </c>
    </row>
    <row r="1227" spans="1:4" ht="50.1" customHeight="1" thickBot="1" x14ac:dyDescent="0.3">
      <c r="A1227" t="str">
        <f t="shared" si="19"/>
        <v>95.31.20 Reparation og lakering af karosseri samt undervognsbehandling</v>
      </c>
      <c r="B1227" s="215" t="s">
        <v>2998</v>
      </c>
      <c r="C1227" s="216" t="s">
        <v>2999</v>
      </c>
      <c r="D1227" s="216" t="s">
        <v>3000</v>
      </c>
    </row>
    <row r="1228" spans="1:4" ht="50.1" customHeight="1" thickBot="1" x14ac:dyDescent="0.3">
      <c r="A1228" t="str">
        <f t="shared" si="19"/>
        <v>95.31.90 Reparation og vedligeholdelse af motorkøretøjer i.a.n.</v>
      </c>
      <c r="B1228" s="215" t="s">
        <v>3001</v>
      </c>
      <c r="C1228" s="216" t="s">
        <v>3002</v>
      </c>
      <c r="D1228" s="216" t="s">
        <v>3003</v>
      </c>
    </row>
    <row r="1229" spans="1:4" ht="50.1" customHeight="1" thickBot="1" x14ac:dyDescent="0.3">
      <c r="A1229" t="str">
        <f t="shared" si="19"/>
        <v>95.32.00 Reparation og vedligeholdelse af motorcykler</v>
      </c>
      <c r="B1229" s="215" t="s">
        <v>3004</v>
      </c>
      <c r="C1229" s="216" t="s">
        <v>3005</v>
      </c>
      <c r="D1229" s="216" t="s">
        <v>3006</v>
      </c>
    </row>
    <row r="1230" spans="1:4" ht="50.1" customHeight="1" thickBot="1" x14ac:dyDescent="0.3">
      <c r="A1230" t="str">
        <f t="shared" si="19"/>
        <v>95.40.00 Formidlingsaktiviteter i forbindelse med reparation og vedligeholdelse af computere, varer til personlig brug og husholdningsbrug samt motorkøretøjer og motorcykler</v>
      </c>
      <c r="B1230" s="215" t="s">
        <v>3007</v>
      </c>
      <c r="C1230" s="216" t="s">
        <v>3008</v>
      </c>
      <c r="D1230" s="216" t="s">
        <v>3009</v>
      </c>
    </row>
    <row r="1231" spans="1:4" ht="50.1" customHeight="1" thickBot="1" x14ac:dyDescent="0.3">
      <c r="A1231" t="str">
        <f t="shared" si="19"/>
        <v>96.10.10 Drift af erhvervs- og institutionsvaskerier</v>
      </c>
      <c r="B1231" s="215" t="s">
        <v>3010</v>
      </c>
      <c r="C1231" s="216" t="s">
        <v>3011</v>
      </c>
      <c r="D1231" s="216" t="s">
        <v>3012</v>
      </c>
    </row>
    <row r="1232" spans="1:4" ht="50.1" customHeight="1" x14ac:dyDescent="0.25">
      <c r="A1232" t="str">
        <f t="shared" si="19"/>
        <v>96.10.20 Drift af renserier og selvbetjeningsvaskerier mv.</v>
      </c>
      <c r="B1232" s="223" t="s">
        <v>3013</v>
      </c>
      <c r="C1232" s="226" t="s">
        <v>3014</v>
      </c>
      <c r="D1232" s="217" t="s">
        <v>3015</v>
      </c>
    </row>
    <row r="1233" spans="1:4" ht="50.1" customHeight="1" x14ac:dyDescent="0.25">
      <c r="A1233" t="str">
        <f t="shared" si="19"/>
        <v xml:space="preserve"> </v>
      </c>
      <c r="B1233" s="224"/>
      <c r="C1233" s="227"/>
      <c r="D1233" s="218"/>
    </row>
    <row r="1234" spans="1:4" ht="50.1" customHeight="1" thickBot="1" x14ac:dyDescent="0.3">
      <c r="A1234" t="str">
        <f t="shared" si="19"/>
        <v xml:space="preserve"> </v>
      </c>
      <c r="B1234" s="225"/>
      <c r="C1234" s="228"/>
      <c r="D1234" s="219" t="s">
        <v>3016</v>
      </c>
    </row>
    <row r="1235" spans="1:4" ht="50.1" customHeight="1" thickBot="1" x14ac:dyDescent="0.3">
      <c r="A1235" t="str">
        <f t="shared" si="19"/>
        <v>96.21.00 Drift af frisør- og barbersaloner</v>
      </c>
      <c r="B1235" s="215" t="s">
        <v>3017</v>
      </c>
      <c r="C1235" s="216" t="s">
        <v>3018</v>
      </c>
      <c r="D1235" s="216" t="s">
        <v>3019</v>
      </c>
    </row>
    <row r="1236" spans="1:4" ht="50.1" customHeight="1" x14ac:dyDescent="0.25">
      <c r="A1236" t="str">
        <f t="shared" si="19"/>
        <v>96.22.00 Skønhedspleje og anden skønhedsbehandling</v>
      </c>
      <c r="B1236" s="223" t="s">
        <v>3020</v>
      </c>
      <c r="C1236" s="226" t="s">
        <v>3021</v>
      </c>
      <c r="D1236" s="217" t="s">
        <v>3022</v>
      </c>
    </row>
    <row r="1237" spans="1:4" ht="50.1" customHeight="1" x14ac:dyDescent="0.25">
      <c r="A1237" t="str">
        <f t="shared" si="19"/>
        <v xml:space="preserve"> </v>
      </c>
      <c r="B1237" s="224"/>
      <c r="C1237" s="227"/>
      <c r="D1237" s="218"/>
    </row>
    <row r="1238" spans="1:4" ht="50.1" customHeight="1" thickBot="1" x14ac:dyDescent="0.3">
      <c r="A1238" t="str">
        <f t="shared" si="19"/>
        <v xml:space="preserve"> </v>
      </c>
      <c r="B1238" s="225"/>
      <c r="C1238" s="228"/>
      <c r="D1238" s="219" t="s">
        <v>3023</v>
      </c>
    </row>
    <row r="1239" spans="1:4" ht="50.1" customHeight="1" thickBot="1" x14ac:dyDescent="0.3">
      <c r="A1239" t="str">
        <f t="shared" si="19"/>
        <v>96.23.00 Drift af dagspa, saunaer og dampbade</v>
      </c>
      <c r="B1239" s="215" t="s">
        <v>3024</v>
      </c>
      <c r="C1239" s="216" t="s">
        <v>3025</v>
      </c>
      <c r="D1239" s="216" t="s">
        <v>3026</v>
      </c>
    </row>
    <row r="1240" spans="1:4" ht="50.1" customHeight="1" x14ac:dyDescent="0.25">
      <c r="A1240" t="str">
        <f t="shared" si="19"/>
        <v>96.30.00 Drift af bedemandsforretninger og begravelsesvæsen</v>
      </c>
      <c r="B1240" s="223" t="s">
        <v>3027</v>
      </c>
      <c r="C1240" s="226" t="s">
        <v>3028</v>
      </c>
      <c r="D1240" s="217" t="s">
        <v>3029</v>
      </c>
    </row>
    <row r="1241" spans="1:4" ht="50.1" customHeight="1" x14ac:dyDescent="0.25">
      <c r="A1241" t="str">
        <f t="shared" si="19"/>
        <v xml:space="preserve"> </v>
      </c>
      <c r="B1241" s="224"/>
      <c r="C1241" s="227"/>
      <c r="D1241" s="218"/>
    </row>
    <row r="1242" spans="1:4" ht="50.1" customHeight="1" thickBot="1" x14ac:dyDescent="0.3">
      <c r="A1242" t="str">
        <f t="shared" si="19"/>
        <v xml:space="preserve"> </v>
      </c>
      <c r="B1242" s="225"/>
      <c r="C1242" s="228"/>
      <c r="D1242" s="219" t="s">
        <v>3030</v>
      </c>
    </row>
    <row r="1243" spans="1:4" ht="50.1" customHeight="1" thickBot="1" x14ac:dyDescent="0.3">
      <c r="A1243" t="str">
        <f t="shared" si="19"/>
        <v>96.40.00 Formidlingsaktiviteter inden for personlige serviceydelser</v>
      </c>
      <c r="B1243" s="215" t="s">
        <v>3031</v>
      </c>
      <c r="C1243" s="216" t="s">
        <v>3032</v>
      </c>
      <c r="D1243" s="216" t="s">
        <v>3033</v>
      </c>
    </row>
    <row r="1244" spans="1:4" ht="50.1" customHeight="1" x14ac:dyDescent="0.25">
      <c r="A1244" t="str">
        <f t="shared" si="19"/>
        <v>96.91.00 Levering af personlige serviceydelser i hjemmet</v>
      </c>
      <c r="B1244" s="223" t="s">
        <v>3034</v>
      </c>
      <c r="C1244" s="226" t="s">
        <v>3035</v>
      </c>
      <c r="D1244" s="217" t="s">
        <v>3036</v>
      </c>
    </row>
    <row r="1245" spans="1:4" ht="50.1" customHeight="1" x14ac:dyDescent="0.25">
      <c r="A1245" t="str">
        <f t="shared" si="19"/>
        <v xml:space="preserve"> </v>
      </c>
      <c r="B1245" s="224"/>
      <c r="C1245" s="227"/>
      <c r="D1245" s="218"/>
    </row>
    <row r="1246" spans="1:4" ht="50.1" customHeight="1" thickBot="1" x14ac:dyDescent="0.3">
      <c r="A1246" t="str">
        <f t="shared" si="19"/>
        <v xml:space="preserve"> </v>
      </c>
      <c r="B1246" s="225"/>
      <c r="C1246" s="228"/>
      <c r="D1246" s="219" t="s">
        <v>3037</v>
      </c>
    </row>
    <row r="1247" spans="1:4" ht="50.1" customHeight="1" thickBot="1" x14ac:dyDescent="0.3">
      <c r="A1247" t="str">
        <f t="shared" si="19"/>
        <v>96.99.00 Andre personlige serviceydelser i.a.n.</v>
      </c>
      <c r="B1247" s="215" t="s">
        <v>3038</v>
      </c>
      <c r="C1247" s="216" t="s">
        <v>3039</v>
      </c>
      <c r="D1247" s="216" t="s">
        <v>3040</v>
      </c>
    </row>
    <row r="1248" spans="1:4" ht="50.1" customHeight="1" thickBot="1" x14ac:dyDescent="0.3">
      <c r="A1248" t="str">
        <f t="shared" si="19"/>
        <v>97.00.00 Aktiviteter i husholdninger med ansat medhjælp</v>
      </c>
      <c r="B1248" s="215" t="s">
        <v>3041</v>
      </c>
      <c r="C1248" s="216" t="s">
        <v>3042</v>
      </c>
      <c r="D1248" s="216" t="s">
        <v>3043</v>
      </c>
    </row>
    <row r="1249" spans="1:4" ht="50.1" customHeight="1" thickBot="1" x14ac:dyDescent="0.3">
      <c r="A1249" t="str">
        <f t="shared" si="19"/>
        <v>98.10.00 Private husholdningers produktion af udifferentierede varer til eget brug</v>
      </c>
      <c r="B1249" s="215" t="s">
        <v>3044</v>
      </c>
      <c r="C1249" s="216" t="s">
        <v>3045</v>
      </c>
      <c r="D1249" s="216" t="s">
        <v>3046</v>
      </c>
    </row>
    <row r="1250" spans="1:4" ht="50.1" customHeight="1" thickBot="1" x14ac:dyDescent="0.3">
      <c r="A1250" t="str">
        <f t="shared" si="19"/>
        <v>98.20.00 Private husholdningers produktion af udifferentierede tjenesteydelser til eget brug</v>
      </c>
      <c r="B1250" s="215" t="s">
        <v>3047</v>
      </c>
      <c r="C1250" s="216" t="s">
        <v>3048</v>
      </c>
      <c r="D1250" s="216" t="s">
        <v>3049</v>
      </c>
    </row>
    <row r="1251" spans="1:4" ht="50.1" customHeight="1" thickBot="1" x14ac:dyDescent="0.3">
      <c r="A1251" t="str">
        <f t="shared" si="19"/>
        <v>99.00.10 Ambassaders eksterritoriale aktivitet</v>
      </c>
      <c r="B1251" s="215" t="s">
        <v>3050</v>
      </c>
      <c r="C1251" s="216" t="s">
        <v>3051</v>
      </c>
      <c r="D1251" s="216" t="s">
        <v>3052</v>
      </c>
    </row>
    <row r="1252" spans="1:4" ht="50.1" customHeight="1" thickBot="1" x14ac:dyDescent="0.3">
      <c r="A1252" t="str">
        <f t="shared" si="19"/>
        <v>99.00.20 Andre eksterritoriale organisationers og organers aktiviteter</v>
      </c>
      <c r="B1252" s="221" t="s">
        <v>3053</v>
      </c>
      <c r="C1252" s="222" t="s">
        <v>3054</v>
      </c>
      <c r="D1252" s="222" t="s">
        <v>3055</v>
      </c>
    </row>
  </sheetData>
  <hyperlinks>
    <hyperlink ref="B2" r:id="rId1" display="https://www.dst.dk/websites/extranet/db25/db25.html" xr:uid="{6EA9158A-D44A-4925-B222-888967042C33}"/>
    <hyperlink ref="B3" r:id="rId2" display="https://www.dst.dk/websites/extranet/db25/db25.html" xr:uid="{F6ABA9B1-C6CF-4ACA-8EA5-A072169A603C}"/>
    <hyperlink ref="B4" r:id="rId3" display="https://www.dst.dk/websites/extranet/db25/db25.html" xr:uid="{FF790325-CC81-400A-82D8-6C6ED8F36CC2}"/>
    <hyperlink ref="B6" r:id="rId4" display="https://www.dst.dk/websites/extranet/db25/db25.html" xr:uid="{E40EB2A0-D77F-4BB3-B821-C7C187BA6E82}"/>
    <hyperlink ref="B8" r:id="rId5" display="https://www.dst.dk/websites/extranet/db25/db25.html" xr:uid="{9458B7B2-5D9D-4DCD-88CD-B16C4008F382}"/>
    <hyperlink ref="B9" r:id="rId6" display="https://www.dst.dk/websites/extranet/db25/db25.html" xr:uid="{878AA2E8-6BC9-4057-A439-B49FA46BE1B6}"/>
    <hyperlink ref="B10" r:id="rId7" display="https://www.dst.dk/websites/extranet/db25/db25.html" xr:uid="{83B202F1-8BD8-4E88-BB6B-467E2EA3AD78}"/>
    <hyperlink ref="B11" r:id="rId8" display="https://www.dst.dk/websites/extranet/db25/db25.html" xr:uid="{21498B19-0AA6-41C9-ABDD-6B6169DC5376}"/>
    <hyperlink ref="B14" r:id="rId9" display="https://www.dst.dk/websites/extranet/db25/db25.html" xr:uid="{9DB87340-6045-42ED-AA48-0A9E4DFE2443}"/>
    <hyperlink ref="B15" r:id="rId10" display="https://www.dst.dk/websites/extranet/db25/db25.html" xr:uid="{93001148-419D-4387-B177-2D28C094DDF0}"/>
    <hyperlink ref="B16" r:id="rId11" display="https://www.dst.dk/websites/extranet/db25/db25.html" xr:uid="{019757C6-8880-432F-AFBD-0E60693EE6C2}"/>
    <hyperlink ref="B17" r:id="rId12" display="https://www.dst.dk/websites/extranet/db25/db25.html" xr:uid="{76AF29AD-D1E2-418C-9BED-8FAF5B5E9E1F}"/>
    <hyperlink ref="B20" r:id="rId13" display="https://www.dst.dk/websites/extranet/db25/db25.html" xr:uid="{0DEA1F75-95B2-4610-8DA0-77E0EAAA3527}"/>
    <hyperlink ref="B23" r:id="rId14" display="https://www.dst.dk/websites/extranet/db25/db25.html" xr:uid="{05297745-B398-411C-A115-4F270A951055}"/>
    <hyperlink ref="B24" r:id="rId15" display="https://www.dst.dk/websites/extranet/db25/db25.html" xr:uid="{89216401-7CE1-4633-A3BA-6E4D6F4649B5}"/>
    <hyperlink ref="B25" r:id="rId16" display="https://www.dst.dk/websites/extranet/db25/db25.html" xr:uid="{F917355F-AD47-4A12-A987-85276DC16633}"/>
    <hyperlink ref="B26" r:id="rId17" display="https://www.dst.dk/websites/extranet/db25/db25.html" xr:uid="{2934A3D9-BB1C-4054-833C-63AE6F4A123E}"/>
    <hyperlink ref="B27" r:id="rId18" display="https://www.dst.dk/websites/extranet/db25/db25.html" xr:uid="{9C7B83F3-F4F2-4C4A-8712-342BC20A15F7}"/>
    <hyperlink ref="B30" r:id="rId19" display="https://www.dst.dk/websites/extranet/db25/db25.html" xr:uid="{B8650687-E4E0-40C1-8805-8A2A031004DA}"/>
    <hyperlink ref="B31" r:id="rId20" display="https://www.dst.dk/websites/extranet/db25/db25.html" xr:uid="{830AE48A-D751-45EE-A211-584682F46D15}"/>
    <hyperlink ref="B34" r:id="rId21" display="https://www.dst.dk/websites/extranet/db25/db25.html" xr:uid="{0CE8B287-815F-404A-A111-451C65524C45}"/>
    <hyperlink ref="B35" r:id="rId22" display="https://www.dst.dk/websites/extranet/db25/db25.html" xr:uid="{C21F6C05-5099-458B-948F-FA1E0726A368}"/>
    <hyperlink ref="B36" r:id="rId23" display="https://www.dst.dk/websites/extranet/db25/db25.html" xr:uid="{49EBD7B0-C333-4789-B648-FB46D391D28E}"/>
    <hyperlink ref="B37" r:id="rId24" display="https://www.dst.dk/websites/extranet/db25/db25.html" xr:uid="{94FB7F69-9875-431A-B10E-2478F86D4B45}"/>
    <hyperlink ref="B38" r:id="rId25" display="https://www.dst.dk/websites/extranet/db25/db25.html" xr:uid="{F977DEB1-046C-4CB8-B833-2D8C6694B086}"/>
    <hyperlink ref="B41" r:id="rId26" display="https://www.dst.dk/websites/extranet/db25/db25.html" xr:uid="{7A1BEB30-8713-42BD-AF59-99CF5147A4B0}"/>
    <hyperlink ref="B42" r:id="rId27" display="https://www.dst.dk/websites/extranet/db25/db25.html" xr:uid="{C36ED5CE-24E5-44C7-92B4-FFBCF3555443}"/>
    <hyperlink ref="B43" r:id="rId28" display="https://www.dst.dk/websites/extranet/db25/db25.html" xr:uid="{041D53E3-EC40-49F2-971F-E4A36ABA58F7}"/>
    <hyperlink ref="B46" r:id="rId29" display="https://www.dst.dk/websites/extranet/db25/db25.html" xr:uid="{D3DC921E-94D0-48D7-B61C-5353CD03A51D}"/>
    <hyperlink ref="B47" r:id="rId30" display="https://www.dst.dk/websites/extranet/db25/db25.html" xr:uid="{1B932EE0-E78E-4E89-945E-D60FEEBDBE76}"/>
    <hyperlink ref="B48" r:id="rId31" display="https://www.dst.dk/websites/extranet/db25/db25.html" xr:uid="{85D3988C-E360-4597-81E2-1271E06C0B61}"/>
    <hyperlink ref="B51" r:id="rId32" display="https://www.dst.dk/websites/extranet/db25/db25.html" xr:uid="{ACDDCDC8-9790-45D7-9280-E1868B3CA364}"/>
    <hyperlink ref="B54" r:id="rId33" display="https://www.dst.dk/websites/extranet/db25/db25.html" xr:uid="{C991B484-682C-43E8-A310-DB47BBAFC748}"/>
    <hyperlink ref="B55" r:id="rId34" display="https://www.dst.dk/websites/extranet/db25/db25.html" xr:uid="{90A0816A-4631-48F3-AC24-240C8FE84A25}"/>
    <hyperlink ref="B56" r:id="rId35" display="https://www.dst.dk/websites/extranet/db25/db25.html" xr:uid="{5A83C74C-7BD5-4030-84FB-C5DAAB31C5DD}"/>
    <hyperlink ref="B57" r:id="rId36" display="https://www.dst.dk/websites/extranet/db25/db25.html" xr:uid="{2A99FDC6-4667-48F2-959D-E3B98A87471E}"/>
    <hyperlink ref="B58" r:id="rId37" display="https://www.dst.dk/websites/extranet/db25/db25.html" xr:uid="{9D00D373-C879-4BF1-8CB2-771F8B4FEA5B}"/>
    <hyperlink ref="B59" r:id="rId38" display="https://www.dst.dk/websites/extranet/db25/db25.html" xr:uid="{CF9EB4E1-652C-4528-8537-4CC1DDB392E4}"/>
    <hyperlink ref="B60" r:id="rId39" display="https://www.dst.dk/websites/extranet/db25/db25.html" xr:uid="{89621690-968A-4A1B-AEDE-E12C9271796A}"/>
    <hyperlink ref="B61" r:id="rId40" display="https://www.dst.dk/websites/extranet/db25/db25.html" xr:uid="{15776820-34CC-45EA-8237-B8C8F5D31AB7}"/>
    <hyperlink ref="B64" r:id="rId41" display="https://www.dst.dk/websites/extranet/db25/db25.html" xr:uid="{33FB3DA2-4EC3-4088-B27E-12F46EEA5272}"/>
    <hyperlink ref="B65" r:id="rId42" display="https://www.dst.dk/websites/extranet/db25/db25.html" xr:uid="{45BBBCFE-A334-435F-AF13-3745002A5C52}"/>
    <hyperlink ref="B66" r:id="rId43" display="https://www.dst.dk/websites/extranet/db25/db25.html" xr:uid="{7AA6E66B-FA50-4BEA-B0D9-AB8E846B11AA}"/>
    <hyperlink ref="B69" r:id="rId44" display="https://www.dst.dk/websites/extranet/db25/db25.html" xr:uid="{EB80F46B-E680-40BF-83AC-A34C1C51AB64}"/>
    <hyperlink ref="B70" r:id="rId45" display="https://www.dst.dk/websites/extranet/db25/db25.html" xr:uid="{ECAAC462-74C0-4EBF-A882-F5B26B2C7E5A}"/>
    <hyperlink ref="B73" r:id="rId46" display="https://www.dst.dk/websites/extranet/db25/db25.html" xr:uid="{6A0FFB75-759D-42AA-9E81-370903E503FB}"/>
    <hyperlink ref="B76" r:id="rId47" display="https://www.dst.dk/websites/extranet/db25/db25.html" xr:uid="{40049F89-CB32-4AE3-BCE9-58138C55DBF6}"/>
    <hyperlink ref="B79" r:id="rId48" display="https://www.dst.dk/websites/extranet/db25/db25.html" xr:uid="{0ED58256-E622-4994-AA55-562C3C3C85E5}"/>
    <hyperlink ref="B80" r:id="rId49" display="https://www.dst.dk/websites/extranet/db25/db25.html" xr:uid="{75CBC224-D423-472A-A83D-8D34123CEE34}"/>
    <hyperlink ref="B84" r:id="rId50" display="https://www.dst.dk/websites/extranet/db25/db25.html" xr:uid="{A5774344-8F15-4B75-9655-8529F47D123D}"/>
    <hyperlink ref="B85" r:id="rId51" display="https://www.dst.dk/websites/extranet/db25/db25.html" xr:uid="{E17D836B-2E2C-4314-9BA2-6FC878F4E19E}"/>
    <hyperlink ref="B88" r:id="rId52" display="https://www.dst.dk/websites/extranet/db25/db25.html" xr:uid="{8FE2F25D-4599-4974-B15E-7F80254CB23E}"/>
    <hyperlink ref="B91" r:id="rId53" display="https://www.dst.dk/websites/extranet/db25/db25.html" xr:uid="{0EBD2AF1-3F6B-4F56-A13C-40B0B87ABBE9}"/>
    <hyperlink ref="B92" r:id="rId54" display="https://www.dst.dk/websites/extranet/db25/db25.html" xr:uid="{D7179A6F-878D-47B3-BA1C-A50C92C6BA05}"/>
    <hyperlink ref="B95" r:id="rId55" display="https://www.dst.dk/websites/extranet/db25/db25.html" xr:uid="{1E85B12B-9610-43A0-A992-CD5BA5E911B4}"/>
    <hyperlink ref="B98" r:id="rId56" display="https://www.dst.dk/websites/extranet/db25/db25.html" xr:uid="{737DEC61-097A-4D50-800B-968DD6C5A2AC}"/>
    <hyperlink ref="B99" r:id="rId57" display="https://www.dst.dk/websites/extranet/db25/db25.html" xr:uid="{C730C9F7-579C-4FAC-A6AE-9E72CE331F9C}"/>
    <hyperlink ref="B102" r:id="rId58" display="https://www.dst.dk/websites/extranet/db25/db25.html" xr:uid="{43E45B4F-B228-4C35-987F-5582C1AD2ADD}"/>
    <hyperlink ref="B103" r:id="rId59" display="https://www.dst.dk/websites/extranet/db25/db25.html" xr:uid="{CFED9F90-FFA4-4498-B5C5-3C9BA0E8CA4A}"/>
    <hyperlink ref="B104" r:id="rId60" display="https://www.dst.dk/websites/extranet/db25/db25.html" xr:uid="{AF99F7E7-4131-4290-A87B-B5EBA9047597}"/>
    <hyperlink ref="B105" r:id="rId61" display="https://www.dst.dk/websites/extranet/db25/db25.html" xr:uid="{8F693898-F950-4B88-86BE-83DB7A1ABB82}"/>
    <hyperlink ref="B106" r:id="rId62" display="https://www.dst.dk/websites/extranet/db25/db25.html" xr:uid="{0E2DDF31-EF00-4294-B296-CB9C3C96016A}"/>
    <hyperlink ref="B107" r:id="rId63" display="https://www.dst.dk/websites/extranet/db25/db25.html" xr:uid="{5FA342EC-65AA-4F6D-9376-7D131820126F}"/>
    <hyperlink ref="B108" r:id="rId64" display="https://www.dst.dk/websites/extranet/db25/db25.html" xr:uid="{1D9F784D-893D-4B01-AC6A-75858BC8A848}"/>
    <hyperlink ref="B111" r:id="rId65" display="https://www.dst.dk/websites/extranet/db25/db25.html" xr:uid="{2BC27129-6A9A-42A9-B358-F98FC4BC5209}"/>
    <hyperlink ref="B114" r:id="rId66" display="https://www.dst.dk/websites/extranet/db25/db25.html" xr:uid="{29B6A579-9E4C-42F1-AA32-C9FD050F3456}"/>
    <hyperlink ref="B115" r:id="rId67" display="https://www.dst.dk/websites/extranet/db25/db25.html" xr:uid="{9EB0DBBC-EB75-4034-B927-C75A3EF5DD35}"/>
    <hyperlink ref="B118" r:id="rId68" display="https://www.dst.dk/websites/extranet/db25/db25.html" xr:uid="{9C539EF6-F3BD-4AF0-B70D-BF5D2140586E}"/>
    <hyperlink ref="B119" r:id="rId69" display="https://www.dst.dk/websites/extranet/db25/db25.html" xr:uid="{E1D464E1-DA61-4071-938C-78F6A7551381}"/>
    <hyperlink ref="B122" r:id="rId70" display="https://www.dst.dk/websites/extranet/db25/db25.html" xr:uid="{38CDA55E-49DD-4EEC-8EFD-567F0B05C58C}"/>
    <hyperlink ref="B123" r:id="rId71" display="https://www.dst.dk/websites/extranet/db25/db25.html" xr:uid="{96097D82-EA32-41DE-8DA3-D0702F1C2673}"/>
    <hyperlink ref="B124" r:id="rId72" display="https://www.dst.dk/websites/extranet/db25/db25.html" xr:uid="{BF15436F-16E8-41C7-9C9B-4ED959F2C3D8}"/>
    <hyperlink ref="B127" r:id="rId73" display="https://www.dst.dk/websites/extranet/db25/db25.html" xr:uid="{5DC9FD09-60F8-4CE5-B5A2-E9628E0BA42A}"/>
    <hyperlink ref="B128" r:id="rId74" display="https://www.dst.dk/websites/extranet/db25/db25.html" xr:uid="{5EF768CD-D41A-4F03-AD96-76CC5DDB20CB}"/>
    <hyperlink ref="B129" r:id="rId75" display="https://www.dst.dk/websites/extranet/db25/db25.html" xr:uid="{E829B7B8-BA48-45D6-AF84-E6AE94E1F66B}"/>
    <hyperlink ref="B130" r:id="rId76" display="https://www.dst.dk/websites/extranet/db25/db25.html" xr:uid="{F1F90DCC-0045-48A2-BCD1-524BDCA50FFC}"/>
    <hyperlink ref="B131" r:id="rId77" display="https://www.dst.dk/websites/extranet/db25/db25.html" xr:uid="{C5344658-3B88-478B-9620-3D80A51CA172}"/>
    <hyperlink ref="B132" r:id="rId78" display="https://www.dst.dk/websites/extranet/db25/db25.html" xr:uid="{38F77E0E-32D1-46EE-8E80-00F4B686255C}"/>
    <hyperlink ref="B133" r:id="rId79" display="https://www.dst.dk/websites/extranet/db25/db25.html" xr:uid="{2B44B7BB-DC0A-4231-BD0B-C8B1420F4C0C}"/>
    <hyperlink ref="B134" r:id="rId80" display="https://www.dst.dk/websites/extranet/db25/db25.html" xr:uid="{F577000A-2819-4D45-97F7-525DAD7003A6}"/>
    <hyperlink ref="B135" r:id="rId81" display="https://www.dst.dk/websites/extranet/db25/db25.html" xr:uid="{9F636DC7-556A-4C62-9B72-8AE6660BD8D3}"/>
    <hyperlink ref="B138" r:id="rId82" display="https://www.dst.dk/websites/extranet/db25/db25.html" xr:uid="{46340B71-9D7A-4346-87E2-6C38C49BDAFB}"/>
    <hyperlink ref="B141" r:id="rId83" display="https://www.dst.dk/websites/extranet/db25/db25.html" xr:uid="{4476D2E3-8895-40E3-91C4-9D9720EB1ADE}"/>
    <hyperlink ref="B142" r:id="rId84" display="https://www.dst.dk/websites/extranet/db25/db25.html" xr:uid="{50AD188B-F02D-4D16-8B35-15E0A355325B}"/>
    <hyperlink ref="B143" r:id="rId85" display="https://www.dst.dk/websites/extranet/db25/db25.html" xr:uid="{2B73FEBE-E293-42AF-B5C2-405814C7CF9F}"/>
    <hyperlink ref="B146" r:id="rId86" display="https://www.dst.dk/websites/extranet/db25/db25.html" xr:uid="{43907EAD-CF9F-4210-8E90-0644E47EC262}"/>
    <hyperlink ref="B147" r:id="rId87" display="https://www.dst.dk/websites/extranet/db25/db25.html" xr:uid="{3725D234-9F96-4DE3-ADBA-81DC4E466D49}"/>
    <hyperlink ref="B148" r:id="rId88" display="https://www.dst.dk/websites/extranet/db25/db25.html" xr:uid="{5D6D21FA-056B-451C-B3B5-F39FB76D696F}"/>
    <hyperlink ref="B149" r:id="rId89" display="https://www.dst.dk/websites/extranet/db25/db25.html" xr:uid="{060FE12A-F8FC-43C2-94C7-59A134D54332}"/>
    <hyperlink ref="B150" r:id="rId90" display="https://www.dst.dk/websites/extranet/db25/db25.html" xr:uid="{951E5509-9796-4A7C-B7EF-9447DEDCA62C}"/>
    <hyperlink ref="B153" r:id="rId91" display="https://www.dst.dk/websites/extranet/db25/db25.html" xr:uid="{E17674E2-8567-4924-9D69-6A98C9E347A4}"/>
    <hyperlink ref="B156" r:id="rId92" display="https://www.dst.dk/websites/extranet/db25/db25.html" xr:uid="{A2C4AA2F-2A82-4EC2-A74F-3FB329050A36}"/>
    <hyperlink ref="B159" r:id="rId93" display="https://www.dst.dk/websites/extranet/db25/db25.html" xr:uid="{C3DA9C9B-2128-4BC4-8BB5-907B19CD8BE6}"/>
    <hyperlink ref="B160" r:id="rId94" display="https://www.dst.dk/websites/extranet/db25/db25.html" xr:uid="{AF83F9FC-E86C-4850-9767-364A2926DF41}"/>
    <hyperlink ref="B163" r:id="rId95" display="https://www.dst.dk/websites/extranet/db25/db25.html" xr:uid="{E5FBB194-F1CD-48ED-9AD1-9C5725B89552}"/>
    <hyperlink ref="B164" r:id="rId96" display="https://www.dst.dk/websites/extranet/db25/db25.html" xr:uid="{C72DAF54-9EE1-4CB3-85BE-95C5A560AE6F}"/>
    <hyperlink ref="B167" r:id="rId97" display="https://www.dst.dk/websites/extranet/db25/db25.html" xr:uid="{41C4904D-CA03-47ED-8590-E597C44A3799}"/>
    <hyperlink ref="B168" r:id="rId98" display="https://www.dst.dk/websites/extranet/db25/db25.html" xr:uid="{4F667586-3773-48CC-80DD-64E466439431}"/>
    <hyperlink ref="B171" r:id="rId99" display="https://www.dst.dk/websites/extranet/db25/db25.html" xr:uid="{88D12632-3F63-47A8-ADD2-6F26CEC9B867}"/>
    <hyperlink ref="B172" r:id="rId100" display="https://www.dst.dk/websites/extranet/db25/db25.html" xr:uid="{C2C9CB1F-1B4E-47BD-9567-9989F79C1DEA}"/>
    <hyperlink ref="B175" r:id="rId101" display="https://www.dst.dk/websites/extranet/db25/db25.html" xr:uid="{4490D7D0-BAF8-44F6-AA0C-E251025E9D0A}"/>
    <hyperlink ref="B176" r:id="rId102" display="https://www.dst.dk/websites/extranet/db25/db25.html" xr:uid="{2279E46B-CA39-490F-9563-40EC50233BFE}"/>
    <hyperlink ref="B177" r:id="rId103" display="https://www.dst.dk/websites/extranet/db25/db25.html" xr:uid="{40988642-AA7A-45E1-A3F0-2962711B5C46}"/>
    <hyperlink ref="B180" r:id="rId104" display="https://www.dst.dk/websites/extranet/db25/db25.html" xr:uid="{DB714E46-2AAC-422E-962B-57D74C3DA40A}"/>
    <hyperlink ref="B181" r:id="rId105" display="https://www.dst.dk/websites/extranet/db25/db25.html" xr:uid="{270D4172-E8C0-4F44-A45E-ABB9970422AD}"/>
    <hyperlink ref="B182" r:id="rId106" display="https://www.dst.dk/websites/extranet/db25/db25.html" xr:uid="{BBF5F408-98FC-4A33-BA7A-1C79E7893C5C}"/>
    <hyperlink ref="B183" r:id="rId107" display="https://www.dst.dk/websites/extranet/db25/db25.html" xr:uid="{667F62B3-877E-48B0-B3AA-9076029CD534}"/>
    <hyperlink ref="B184" r:id="rId108" display="https://www.dst.dk/websites/extranet/db25/db25.html" xr:uid="{981895BC-DF18-4E38-89E2-4FFC425593F9}"/>
    <hyperlink ref="B185" r:id="rId109" display="https://www.dst.dk/websites/extranet/db25/db25.html" xr:uid="{7155C288-8373-49CB-AEC9-AE863DD6380D}"/>
    <hyperlink ref="B186" r:id="rId110" display="https://www.dst.dk/websites/extranet/db25/db25.html" xr:uid="{0D14E9B2-EDC2-4D5E-8669-C95B33B74AD4}"/>
    <hyperlink ref="B189" r:id="rId111" display="https://www.dst.dk/websites/extranet/db25/db25.html" xr:uid="{58350304-C6A7-4EAC-AE54-E01922B5AB6F}"/>
    <hyperlink ref="B192" r:id="rId112" display="https://www.dst.dk/websites/extranet/db25/db25.html" xr:uid="{03FFFE8E-A687-41C8-9C6A-729C81654B44}"/>
    <hyperlink ref="B195" r:id="rId113" display="https://www.dst.dk/websites/extranet/db25/db25.html" xr:uid="{6C2B1FBB-8B2A-4EE1-86FC-EB9FD935792C}"/>
    <hyperlink ref="B196" r:id="rId114" display="https://www.dst.dk/websites/extranet/db25/db25.html" xr:uid="{6F860972-D491-43CD-9529-E55D61FA93E3}"/>
    <hyperlink ref="B197" r:id="rId115" display="https://www.dst.dk/websites/extranet/db25/db25.html" xr:uid="{40024638-3C86-436B-B364-575A689A9F40}"/>
    <hyperlink ref="B198" r:id="rId116" display="https://www.dst.dk/websites/extranet/db25/db25.html" xr:uid="{9D9E5F74-9849-4C47-9E8F-81439CB11079}"/>
    <hyperlink ref="B199" r:id="rId117" display="https://www.dst.dk/websites/extranet/db25/db25.html" xr:uid="{D96BE66A-2802-412A-AC72-8BED76F5CC5A}"/>
    <hyperlink ref="B200" r:id="rId118" display="https://www.dst.dk/websites/extranet/db25/db25.html" xr:uid="{213CF7AC-F027-4870-8C43-24FCA172DA36}"/>
    <hyperlink ref="B203" r:id="rId119" display="https://www.dst.dk/websites/extranet/db25/db25.html" xr:uid="{F582B2F0-ED26-4EA1-B769-E7BF81D2703B}"/>
    <hyperlink ref="B206" r:id="rId120" display="https://www.dst.dk/websites/extranet/db25/db25.html" xr:uid="{E48C597B-8D2B-4F64-9FC8-5D847E905560}"/>
    <hyperlink ref="B209" r:id="rId121" display="https://www.dst.dk/websites/extranet/db25/db25.html" xr:uid="{0AD5B367-FC52-49EA-8D30-CEE3CEC0DF37}"/>
    <hyperlink ref="B210" r:id="rId122" display="https://www.dst.dk/websites/extranet/db25/db25.html" xr:uid="{DE3EC3EA-2914-48E8-B88D-92B2B9383DBB}"/>
    <hyperlink ref="B213" r:id="rId123" display="https://www.dst.dk/websites/extranet/db25/db25.html" xr:uid="{BFC19164-E394-4F89-9AE2-55D0C1D84542}"/>
    <hyperlink ref="B216" r:id="rId124" display="https://www.dst.dk/websites/extranet/db25/db25.html" xr:uid="{EBDA7F4B-1F69-4B61-8A63-C23C3D8F5A45}"/>
    <hyperlink ref="B217" r:id="rId125" display="https://www.dst.dk/websites/extranet/db25/db25.html" xr:uid="{9634A2E7-A3C6-4CA7-9691-5ED6F1D3D5E2}"/>
    <hyperlink ref="B218" r:id="rId126" display="https://www.dst.dk/websites/extranet/db25/db25.html" xr:uid="{26D5C8CC-DB28-44AA-8DB5-AF28D6EB0B49}"/>
    <hyperlink ref="B221" r:id="rId127" display="https://www.dst.dk/websites/extranet/db25/db25.html" xr:uid="{C2F83637-F012-47B8-997A-CFFB80581AE1}"/>
    <hyperlink ref="B222" r:id="rId128" display="https://www.dst.dk/websites/extranet/db25/db25.html" xr:uid="{C1813A09-3A41-4640-9D56-3E14EB4A240C}"/>
    <hyperlink ref="B223" r:id="rId129" display="https://www.dst.dk/websites/extranet/db25/db25.html" xr:uid="{0C004142-D5F0-4BD3-97C8-EFF199D7127F}"/>
    <hyperlink ref="B224" r:id="rId130" display="https://www.dst.dk/websites/extranet/db25/db25.html" xr:uid="{5DB8DC58-6C8E-423B-957E-37E2E2D141DB}"/>
    <hyperlink ref="B225" r:id="rId131" display="https://www.dst.dk/websites/extranet/db25/db25.html" xr:uid="{5AAFA1D1-D40E-4FDE-BF84-54C9B70935A7}"/>
    <hyperlink ref="B226" r:id="rId132" display="https://www.dst.dk/websites/extranet/db25/db25.html" xr:uid="{CBE6D1E2-F55B-4C8C-BE9A-4D6ACFA1C422}"/>
    <hyperlink ref="B229" r:id="rId133" display="https://www.dst.dk/websites/extranet/db25/db25.html" xr:uid="{978783F1-5F9E-483B-A969-91CCE31E8FD2}"/>
    <hyperlink ref="B232" r:id="rId134" display="https://www.dst.dk/websites/extranet/db25/db25.html" xr:uid="{AD87231B-0157-43D8-B753-021A04A58C9A}"/>
    <hyperlink ref="B235" r:id="rId135" display="https://www.dst.dk/websites/extranet/db25/db25.html" xr:uid="{C52007B1-3220-43F0-97AA-47F2B7AF757F}"/>
    <hyperlink ref="B238" r:id="rId136" display="https://www.dst.dk/websites/extranet/db25/db25.html" xr:uid="{DFB0028E-E139-454A-9864-A005D84E80AA}"/>
    <hyperlink ref="B241" r:id="rId137" display="https://www.dst.dk/websites/extranet/db25/db25.html" xr:uid="{9F7E8D10-70BA-472A-82C0-75D0EA4BB59C}"/>
    <hyperlink ref="B242" r:id="rId138" display="https://www.dst.dk/websites/extranet/db25/db25.html" xr:uid="{EAA18DC4-F2A4-47C2-9BDC-FF456C3135BE}"/>
    <hyperlink ref="B245" r:id="rId139" display="https://www.dst.dk/websites/extranet/db25/db25.html" xr:uid="{16C43E2B-9DE5-4189-9BF4-A46506A5084F}"/>
    <hyperlink ref="B246" r:id="rId140" display="https://www.dst.dk/websites/extranet/db25/db25.html" xr:uid="{6F9E462A-C043-44A1-8DC9-57F641AE9D4E}"/>
    <hyperlink ref="B247" r:id="rId141" display="https://www.dst.dk/websites/extranet/db25/db25.html" xr:uid="{3E203CA0-B71D-4BCC-A120-427B9E45DCA6}"/>
    <hyperlink ref="B248" r:id="rId142" display="https://www.dst.dk/websites/extranet/db25/db25.html" xr:uid="{7B065BC0-7DD7-4948-9FAF-6746D20A0D17}"/>
    <hyperlink ref="B249" r:id="rId143" display="https://www.dst.dk/websites/extranet/db25/db25.html" xr:uid="{987AC87E-A828-4D91-B6F8-BAEB0B625446}"/>
    <hyperlink ref="B252" r:id="rId144" display="https://www.dst.dk/websites/extranet/db25/db25.html" xr:uid="{973F0434-BF5F-4D87-8622-04D5E280C537}"/>
    <hyperlink ref="B255" r:id="rId145" display="https://www.dst.dk/websites/extranet/db25/db25.html" xr:uid="{E7573828-EF9D-4F08-8CB3-3D8A2CB5F68A}"/>
    <hyperlink ref="B256" r:id="rId146" display="https://www.dst.dk/websites/extranet/db25/db25.html" xr:uid="{8A1D9AAB-CD38-40E0-945F-CA7EADA68F94}"/>
    <hyperlink ref="B257" r:id="rId147" display="https://www.dst.dk/websites/extranet/db25/db25.html" xr:uid="{33F2463F-09A7-476D-9BD3-EACB7B78E28E}"/>
    <hyperlink ref="B258" r:id="rId148" display="https://www.dst.dk/websites/extranet/db25/db25.html" xr:uid="{D9A9E2C4-EF75-4038-BC88-EDDC9C3BF092}"/>
    <hyperlink ref="B261" r:id="rId149" display="https://www.dst.dk/websites/extranet/db25/db25.html" xr:uid="{00D01977-4A86-49B4-96E2-8DF8CCFAA514}"/>
    <hyperlink ref="B262" r:id="rId150" display="https://www.dst.dk/websites/extranet/db25/db25.html" xr:uid="{6E896FA6-62F1-4FFF-B07F-1A97B028DBD6}"/>
    <hyperlink ref="B263" r:id="rId151" display="https://www.dst.dk/websites/extranet/db25/db25.html" xr:uid="{57528148-2B95-49CD-BA21-AFC014FC89B0}"/>
    <hyperlink ref="B264" r:id="rId152" display="https://www.dst.dk/websites/extranet/db25/db25.html" xr:uid="{EE10025A-B175-446E-8150-9F7A9BF0113E}"/>
    <hyperlink ref="B265" r:id="rId153" display="https://www.dst.dk/websites/extranet/db25/db25.html" xr:uid="{F3F450E2-6786-4889-9B39-771E122B8E40}"/>
    <hyperlink ref="B268" r:id="rId154" display="https://www.dst.dk/websites/extranet/db25/db25.html" xr:uid="{20A9BC30-B444-47F2-97A2-0C4A90A25151}"/>
    <hyperlink ref="B269" r:id="rId155" display="https://www.dst.dk/websites/extranet/db25/db25.html" xr:uid="{E534F7CC-127E-404E-AF0D-7C386424C532}"/>
    <hyperlink ref="B270" r:id="rId156" display="https://www.dst.dk/websites/extranet/db25/db25.html" xr:uid="{6B0FCCE6-2E4E-4095-9E81-97EF04ABD7B8}"/>
    <hyperlink ref="B273" r:id="rId157" display="https://www.dst.dk/websites/extranet/db25/db25.html" xr:uid="{07502C3F-C2AC-436C-A4E7-89FF3F71F313}"/>
    <hyperlink ref="B276" r:id="rId158" display="https://www.dst.dk/websites/extranet/db25/db25.html" xr:uid="{9987AEDE-3EF5-48F4-956D-0AB31178F0C7}"/>
    <hyperlink ref="B279" r:id="rId159" display="https://www.dst.dk/websites/extranet/db25/db25.html" xr:uid="{3596A519-4E58-42C9-97B6-79972EAC8BA0}"/>
    <hyperlink ref="B282" r:id="rId160" display="https://www.dst.dk/websites/extranet/db25/db25.html" xr:uid="{AA94B3ED-41F3-40D2-9096-DD25744EE44D}"/>
    <hyperlink ref="B285" r:id="rId161" display="https://www.dst.dk/websites/extranet/db25/db25.html" xr:uid="{E889612B-1594-4CCF-B6C4-08BD3C05E320}"/>
    <hyperlink ref="B288" r:id="rId162" display="https://www.dst.dk/websites/extranet/db25/db25.html" xr:uid="{298F662D-4919-4FDD-9E46-C4BFF57F44FB}"/>
    <hyperlink ref="B291" r:id="rId163" display="https://www.dst.dk/websites/extranet/db25/db25.html" xr:uid="{2B12B228-F4D9-4894-9EDA-73DD9A215989}"/>
    <hyperlink ref="B292" r:id="rId164" display="https://www.dst.dk/websites/extranet/db25/db25.html" xr:uid="{7BD497A3-7566-4AB2-B23F-98A200C87772}"/>
    <hyperlink ref="B293" r:id="rId165" display="https://www.dst.dk/websites/extranet/db25/db25.html" xr:uid="{060FB990-D4BA-4D5B-A1ED-27FF8874C3BD}"/>
    <hyperlink ref="B296" r:id="rId166" display="https://www.dst.dk/websites/extranet/db25/db25.html" xr:uid="{C6A17CD1-815B-40E3-A7DD-EBF7A808D966}"/>
    <hyperlink ref="B297" r:id="rId167" display="https://www.dst.dk/websites/extranet/db25/db25.html" xr:uid="{76464FD1-8856-49BF-A16C-3AEEE377DE61}"/>
    <hyperlink ref="B298" r:id="rId168" display="https://www.dst.dk/websites/extranet/db25/db25.html" xr:uid="{AFE8B6C1-74B9-4954-9451-9EAF699BEE82}"/>
    <hyperlink ref="B299" r:id="rId169" display="https://www.dst.dk/websites/extranet/db25/db25.html" xr:uid="{5078399E-80A7-447B-A537-A20D478526BD}"/>
    <hyperlink ref="B300" r:id="rId170" display="https://www.dst.dk/websites/extranet/db25/db25.html" xr:uid="{D68B1A66-ACE9-4397-A89B-63643421D2D2}"/>
    <hyperlink ref="B301" r:id="rId171" display="https://www.dst.dk/websites/extranet/db25/db25.html" xr:uid="{F6EB0636-0FE2-422E-A313-12241A4E863A}"/>
    <hyperlink ref="B302" r:id="rId172" display="https://www.dst.dk/websites/extranet/db25/db25.html" xr:uid="{02E0C7CF-3D15-4921-96F6-AC9B562C992D}"/>
    <hyperlink ref="B305" r:id="rId173" display="https://www.dst.dk/websites/extranet/db25/db25.html" xr:uid="{A4A93CC0-E427-4C90-A8D0-132124BBE5F7}"/>
    <hyperlink ref="B308" r:id="rId174" display="https://www.dst.dk/websites/extranet/db25/db25.html" xr:uid="{D2E99C6D-B78F-4782-B142-FA8A06ADE8F8}"/>
    <hyperlink ref="B309" r:id="rId175" display="https://www.dst.dk/websites/extranet/db25/db25.html" xr:uid="{26D7049C-D16A-44C4-8026-5AE3CBBBB0CE}"/>
    <hyperlink ref="B310" r:id="rId176" display="https://www.dst.dk/websites/extranet/db25/db25.html" xr:uid="{A655F94D-916E-4A3C-8B58-9F616E2437F0}"/>
    <hyperlink ref="B313" r:id="rId177" display="https://www.dst.dk/websites/extranet/db25/db25.html" xr:uid="{2171B7F7-A653-4307-840C-B917A8AF761F}"/>
    <hyperlink ref="B314" r:id="rId178" display="https://www.dst.dk/websites/extranet/db25/db25.html" xr:uid="{F60F0C15-AD40-494F-A77A-520029750808}"/>
    <hyperlink ref="B315" r:id="rId179" display="https://www.dst.dk/websites/extranet/db25/db25.html" xr:uid="{63A7EE29-D8F6-40F3-A70F-45938B85FC39}"/>
    <hyperlink ref="B318" r:id="rId180" display="https://www.dst.dk/websites/extranet/db25/db25.html" xr:uid="{9B7D1E0C-0894-41D5-8FD0-6814DA835BD8}"/>
    <hyperlink ref="B319" r:id="rId181" display="https://www.dst.dk/websites/extranet/db25/db25.html" xr:uid="{94136086-5A24-4DF4-B835-5C520D26490C}"/>
    <hyperlink ref="B320" r:id="rId182" display="https://www.dst.dk/websites/extranet/db25/db25.html" xr:uid="{8241EC83-BAF6-468F-A065-D689685F342F}"/>
    <hyperlink ref="B321" r:id="rId183" display="https://www.dst.dk/websites/extranet/db25/db25.html" xr:uid="{6ABBAC6A-B3C5-437C-B322-C5CBC4BA0023}"/>
    <hyperlink ref="B322" r:id="rId184" display="https://www.dst.dk/websites/extranet/db25/db25.html" xr:uid="{D0F093A3-C969-474B-8231-2CFC35F137A5}"/>
    <hyperlink ref="B323" r:id="rId185" display="https://www.dst.dk/websites/extranet/db25/db25.html" xr:uid="{25DF3CD0-7EE7-4B9D-8085-553A40A562DB}"/>
    <hyperlink ref="B324" r:id="rId186" display="https://www.dst.dk/websites/extranet/db25/db25.html" xr:uid="{28F9A1C9-671E-447F-B71C-6E87EC259B9C}"/>
    <hyperlink ref="B325" r:id="rId187" display="https://www.dst.dk/websites/extranet/db25/db25.html" xr:uid="{F2A5065D-4123-4BD3-8D3A-76F2C8300ECF}"/>
    <hyperlink ref="B326" r:id="rId188" display="https://www.dst.dk/websites/extranet/db25/db25.html" xr:uid="{BEC947CA-97A5-4256-BDED-5D7E109EA805}"/>
    <hyperlink ref="B329" r:id="rId189" display="https://www.dst.dk/websites/extranet/db25/db25.html" xr:uid="{54D4C664-21D7-44BC-B7F4-A0C0687730A1}"/>
    <hyperlink ref="B330" r:id="rId190" display="https://www.dst.dk/websites/extranet/db25/db25.html" xr:uid="{8FCDA1D6-1FCA-4F2C-8EE4-59A5D7BB026F}"/>
    <hyperlink ref="B333" r:id="rId191" display="https://www.dst.dk/websites/extranet/db25/db25.html" xr:uid="{9190D4E9-CB0F-4CDB-B458-7D7D44347D34}"/>
    <hyperlink ref="B336" r:id="rId192" display="https://www.dst.dk/websites/extranet/db25/db25.html" xr:uid="{D6CEEB68-E676-4A42-8C01-9FC249C487A6}"/>
    <hyperlink ref="B339" r:id="rId193" display="https://www.dst.dk/websites/extranet/db25/db25.html" xr:uid="{2FC86BF5-6627-48A7-A06F-E9F6A1A82188}"/>
    <hyperlink ref="B342" r:id="rId194" display="https://www.dst.dk/websites/extranet/db25/db25.html" xr:uid="{E11C147C-DA8E-4423-B1BB-3D01DBD7303A}"/>
    <hyperlink ref="B343" r:id="rId195" display="https://www.dst.dk/websites/extranet/db25/db25.html" xr:uid="{2BC39E12-5E09-49B1-849C-700F3CE32B8F}"/>
    <hyperlink ref="B344" r:id="rId196" display="https://www.dst.dk/websites/extranet/db25/db25.html" xr:uid="{FA9F0BB9-BCEB-4173-9925-614299510D33}"/>
    <hyperlink ref="B345" r:id="rId197" display="https://www.dst.dk/websites/extranet/db25/db25.html" xr:uid="{D8FFD0B7-FAD3-41C4-B7C3-AD9C58D6FD69}"/>
    <hyperlink ref="B346" r:id="rId198" display="https://www.dst.dk/websites/extranet/db25/db25.html" xr:uid="{368FDDE9-FAE5-4BCA-913A-7B64647DD1FE}"/>
    <hyperlink ref="B347" r:id="rId199" display="https://www.dst.dk/websites/extranet/db25/db25.html" xr:uid="{864914BC-0E7F-424A-96EE-8E80E9B21A66}"/>
    <hyperlink ref="B348" r:id="rId200" display="https://www.dst.dk/websites/extranet/db25/db25.html" xr:uid="{2862B1D0-0F6A-402A-8B2C-63045D284AC7}"/>
    <hyperlink ref="B349" r:id="rId201" display="https://www.dst.dk/websites/extranet/db25/db25.html" xr:uid="{586C47B9-80B4-4784-B46A-E2CE0B08F1BA}"/>
    <hyperlink ref="B350" r:id="rId202" display="https://www.dst.dk/websites/extranet/db25/db25.html" xr:uid="{0CF94344-B688-4150-B5D2-05240B338A34}"/>
    <hyperlink ref="B351" r:id="rId203" display="https://www.dst.dk/websites/extranet/db25/db25.html" xr:uid="{FD2A5624-9A92-4D82-B79C-D43E3FAD688B}"/>
    <hyperlink ref="B352" r:id="rId204" display="https://www.dst.dk/websites/extranet/db25/db25.html" xr:uid="{924FD0BA-5F4F-4C56-A9EC-CDDD226D7E97}"/>
    <hyperlink ref="B355" r:id="rId205" display="https://www.dst.dk/websites/extranet/db25/db25.html" xr:uid="{D288699F-B72E-4864-9E86-A48366A560CA}"/>
    <hyperlink ref="B356" r:id="rId206" display="https://www.dst.dk/websites/extranet/db25/db25.html" xr:uid="{BF8C982B-6B38-4F48-9CE2-59F56334BCD4}"/>
    <hyperlink ref="B357" r:id="rId207" display="https://www.dst.dk/websites/extranet/db25/db25.html" xr:uid="{914F9788-7268-4541-973D-C01E7CC45F07}"/>
    <hyperlink ref="B358" r:id="rId208" display="https://www.dst.dk/websites/extranet/db25/db25.html" xr:uid="{7612FDA8-BDB4-48DD-A6AB-3E63A7B02E98}"/>
    <hyperlink ref="B359" r:id="rId209" display="https://www.dst.dk/websites/extranet/db25/db25.html" xr:uid="{98F3C7E3-6E1D-4319-A363-62466165AB8A}"/>
    <hyperlink ref="B362" r:id="rId210" display="https://www.dst.dk/websites/extranet/db25/db25.html" xr:uid="{23CA61B3-7D81-4536-99D2-58176EED5564}"/>
    <hyperlink ref="B363" r:id="rId211" display="https://www.dst.dk/websites/extranet/db25/db25.html" xr:uid="{3C749207-9253-48A4-98B1-B7156E77A737}"/>
    <hyperlink ref="B366" r:id="rId212" display="https://www.dst.dk/websites/extranet/db25/db25.html" xr:uid="{0F0163CA-DA60-432A-B68C-A371BF35F254}"/>
    <hyperlink ref="B367" r:id="rId213" display="https://www.dst.dk/websites/extranet/db25/db25.html" xr:uid="{FBF585CF-3613-4104-94E2-5F19C7D842F0}"/>
    <hyperlink ref="B368" r:id="rId214" display="https://www.dst.dk/websites/extranet/db25/db25.html" xr:uid="{BB7DF99D-2F25-448E-9570-0D037137CDFD}"/>
    <hyperlink ref="B371" r:id="rId215" display="https://www.dst.dk/websites/extranet/db25/db25.html" xr:uid="{95DCED77-564B-4DF5-B8E3-A50E36049801}"/>
    <hyperlink ref="B372" r:id="rId216" display="https://www.dst.dk/websites/extranet/db25/db25.html" xr:uid="{18B8193E-6923-4AB8-8761-D91144BBF5A8}"/>
    <hyperlink ref="B373" r:id="rId217" display="https://www.dst.dk/websites/extranet/db25/db25.html" xr:uid="{09934B70-852F-41A8-95DA-4F37ECE41E9E}"/>
    <hyperlink ref="B376" r:id="rId218" display="https://www.dst.dk/websites/extranet/db25/db25.html" xr:uid="{06D566CE-41E6-4C54-AA61-EAA3D96E027C}"/>
    <hyperlink ref="B377" r:id="rId219" display="https://www.dst.dk/websites/extranet/db25/db25.html" xr:uid="{D717607F-533F-419D-9D59-ABA804487D8D}"/>
    <hyperlink ref="B380" r:id="rId220" display="https://www.dst.dk/websites/extranet/db25/db25.html" xr:uid="{7406378E-D455-48FB-8452-BA138F7DF4EA}"/>
    <hyperlink ref="B383" r:id="rId221" display="https://www.dst.dk/websites/extranet/db25/db25.html" xr:uid="{FC637A68-A1D3-448A-AD9A-D661145C65EF}"/>
    <hyperlink ref="B386" r:id="rId222" display="https://www.dst.dk/websites/extranet/db25/db25.html" xr:uid="{70B85211-DE47-46D8-B609-6A1DD7839233}"/>
    <hyperlink ref="B389" r:id="rId223" display="https://www.dst.dk/websites/extranet/db25/db25.html" xr:uid="{4184D4B4-9E97-45FC-8F1F-F15D29A4B936}"/>
    <hyperlink ref="B390" r:id="rId224" display="https://www.dst.dk/websites/extranet/db25/db25.html" xr:uid="{0B0CEFB2-6A04-479C-B3B1-13BE4871C56D}"/>
    <hyperlink ref="B391" r:id="rId225" display="https://www.dst.dk/websites/extranet/db25/db25.html" xr:uid="{5454315B-F47B-42C0-AB56-DBE15B4C5FFE}"/>
    <hyperlink ref="B392" r:id="rId226" display="https://www.dst.dk/websites/extranet/db25/db25.html" xr:uid="{361619A0-76FF-4F7A-A738-8E47F0FDC4A2}"/>
    <hyperlink ref="B395" r:id="rId227" display="https://www.dst.dk/websites/extranet/db25/db25.html" xr:uid="{38935927-D32B-4CE6-8352-AD41CA69A83C}"/>
    <hyperlink ref="B396" r:id="rId228" display="https://www.dst.dk/websites/extranet/db25/db25.html" xr:uid="{7D7DF04E-5790-41DA-AA79-ED3BE70FFC42}"/>
    <hyperlink ref="B399" r:id="rId229" display="https://www.dst.dk/websites/extranet/db25/db25.html" xr:uid="{A8C2A516-3F5F-40F7-8F1E-CCB7D5377E96}"/>
    <hyperlink ref="B400" r:id="rId230" display="https://www.dst.dk/websites/extranet/db25/db25.html" xr:uid="{024706A5-9A41-4B8A-9A7A-955ACDC0927E}"/>
    <hyperlink ref="B401" r:id="rId231" display="https://www.dst.dk/websites/extranet/db25/db25.html" xr:uid="{10486E3D-047F-4743-AFCC-4260C25FE05E}"/>
    <hyperlink ref="B404" r:id="rId232" display="https://www.dst.dk/websites/extranet/db25/db25.html" xr:uid="{B88D9DB9-0912-4FA6-8B9C-D272644CA52D}"/>
    <hyperlink ref="B407" r:id="rId233" display="https://www.dst.dk/websites/extranet/db25/db25.html" xr:uid="{1883B08C-A4CE-4328-A1F2-04CB24FB5453}"/>
    <hyperlink ref="B408" r:id="rId234" display="https://www.dst.dk/websites/extranet/db25/db25.html" xr:uid="{2E97D95C-2F98-4E7A-ADD2-42D716EB18C1}"/>
    <hyperlink ref="B409" r:id="rId235" display="https://www.dst.dk/websites/extranet/db25/db25.html" xr:uid="{4FD56553-5242-40D4-B5AC-F1B3EB10C757}"/>
    <hyperlink ref="B410" r:id="rId236" display="https://www.dst.dk/websites/extranet/db25/db25.html" xr:uid="{88B70DFD-76A2-4433-A033-56A7AFF07CD7}"/>
    <hyperlink ref="B411" r:id="rId237" display="https://www.dst.dk/websites/extranet/db25/db25.html" xr:uid="{EDFC6D14-5121-4155-AC41-FDE856458A1C}"/>
    <hyperlink ref="B414" r:id="rId238" display="https://www.dst.dk/websites/extranet/db25/db25.html" xr:uid="{4FBBC330-51D9-44A6-B9B1-04D7723BC5D8}"/>
    <hyperlink ref="B415" r:id="rId239" display="https://www.dst.dk/websites/extranet/db25/db25.html" xr:uid="{68AFA175-F0DA-49A1-853A-5E314AE60BB6}"/>
    <hyperlink ref="B416" r:id="rId240" display="https://www.dst.dk/websites/extranet/db25/db25.html" xr:uid="{335E013E-B6B3-46B4-88DA-1C43559F125D}"/>
    <hyperlink ref="B419" r:id="rId241" display="https://www.dst.dk/websites/extranet/db25/db25.html" xr:uid="{0995E057-52C0-470A-8D31-B72EA4BF4930}"/>
    <hyperlink ref="B422" r:id="rId242" display="https://www.dst.dk/websites/extranet/db25/db25.html" xr:uid="{8C7D0897-3348-443C-8B84-B62B41BF2F15}"/>
    <hyperlink ref="B425" r:id="rId243" display="https://www.dst.dk/websites/extranet/db25/db25.html" xr:uid="{A9661392-8C08-438F-A90D-381D47E5DFC0}"/>
    <hyperlink ref="B428" r:id="rId244" display="https://www.dst.dk/websites/extranet/db25/db25.html" xr:uid="{54E7EFBD-8BE6-4743-A735-D044D77A07B8}"/>
    <hyperlink ref="B431" r:id="rId245" display="https://www.dst.dk/websites/extranet/db25/db25.html" xr:uid="{509ECAA3-3C0E-49D7-888C-EFE1CB98DE30}"/>
    <hyperlink ref="B432" r:id="rId246" display="https://www.dst.dk/websites/extranet/db25/db25.html" xr:uid="{818168C2-9CE7-4324-9B29-033853A599B7}"/>
    <hyperlink ref="B433" r:id="rId247" display="https://www.dst.dk/websites/extranet/db25/db25.html" xr:uid="{102AA128-127F-445E-8FB1-7EA7F3D3C36B}"/>
    <hyperlink ref="B434" r:id="rId248" display="https://www.dst.dk/websites/extranet/db25/db25.html" xr:uid="{11E0237A-19A8-4460-A30A-EC0EAE5D65B0}"/>
    <hyperlink ref="B435" r:id="rId249" display="https://www.dst.dk/websites/extranet/db25/db25.html" xr:uid="{1FD7F39B-5728-4710-A40C-CA2B37A490D9}"/>
    <hyperlink ref="B436" r:id="rId250" display="https://www.dst.dk/websites/extranet/db25/db25.html" xr:uid="{1DCE9F5F-EC62-409B-81CE-B35DF4612DE6}"/>
    <hyperlink ref="B437" r:id="rId251" display="https://www.dst.dk/websites/extranet/db25/db25.html" xr:uid="{516E6D4F-7995-4544-9AEB-4320CDF690F5}"/>
    <hyperlink ref="B438" r:id="rId252" display="https://www.dst.dk/websites/extranet/db25/db25.html" xr:uid="{82FD1A69-B80E-4F97-8425-8B8BD464EFBF}"/>
    <hyperlink ref="B439" r:id="rId253" display="https://www.dst.dk/websites/extranet/db25/db25.html" xr:uid="{17FBE5D8-C15C-450B-B947-81EF11A1C2D1}"/>
    <hyperlink ref="B440" r:id="rId254" display="https://www.dst.dk/websites/extranet/db25/db25.html" xr:uid="{C780EFED-7E6D-42F8-A725-5E9786B745CB}"/>
    <hyperlink ref="B441" r:id="rId255" display="https://www.dst.dk/websites/extranet/db25/db25.html" xr:uid="{09037E6E-293E-4052-A452-CB0B5D451BE9}"/>
    <hyperlink ref="B442" r:id="rId256" display="https://www.dst.dk/websites/extranet/db25/db25.html" xr:uid="{B06609E1-0AC1-434E-BFD0-CD85425E1190}"/>
    <hyperlink ref="B443" r:id="rId257" display="https://www.dst.dk/websites/extranet/db25/db25.html" xr:uid="{D4D6AFAF-B443-4FD4-BB4F-6845897C36C5}"/>
    <hyperlink ref="B444" r:id="rId258" display="https://www.dst.dk/websites/extranet/db25/db25.html" xr:uid="{021C8AA8-5686-4263-AB5A-2A6D51A7302B}"/>
    <hyperlink ref="B445" r:id="rId259" display="https://www.dst.dk/websites/extranet/db25/db25.html" xr:uid="{EAFE21B9-059F-4C6C-B7A8-4F2B12C3C991}"/>
    <hyperlink ref="B448" r:id="rId260" display="https://www.dst.dk/websites/extranet/db25/db25.html" xr:uid="{EECA7B5E-2857-4470-BBD7-0EE6AC6FE634}"/>
    <hyperlink ref="B451" r:id="rId261" display="https://www.dst.dk/websites/extranet/db25/db25.html" xr:uid="{610A1A21-9A15-46E1-BFCF-35FFE28D9D68}"/>
    <hyperlink ref="B454" r:id="rId262" display="https://www.dst.dk/websites/extranet/db25/db25.html" xr:uid="{1BEFABE3-ABBB-4380-92C3-0A1EC9F57AFA}"/>
    <hyperlink ref="B455" r:id="rId263" display="https://www.dst.dk/websites/extranet/db25/db25.html" xr:uid="{6546A1B2-D21E-4C44-BF5E-E175844BD826}"/>
    <hyperlink ref="B458" r:id="rId264" display="https://www.dst.dk/websites/extranet/db25/db25.html" xr:uid="{E452F254-7803-4611-BDC6-636E71DBD933}"/>
    <hyperlink ref="B461" r:id="rId265" display="https://www.dst.dk/websites/extranet/db25/db25.html" xr:uid="{9B4E0C9A-164C-4F6C-A5DF-034810988625}"/>
    <hyperlink ref="B462" r:id="rId266" display="https://www.dst.dk/websites/extranet/db25/db25.html" xr:uid="{47CD5C66-DD28-4292-B5C2-F981C8985056}"/>
    <hyperlink ref="B465" r:id="rId267" display="https://www.dst.dk/websites/extranet/db25/db25.html" xr:uid="{78551B8C-6D78-4FFA-B067-12B994D1819D}"/>
    <hyperlink ref="B468" r:id="rId268" display="https://www.dst.dk/websites/extranet/db25/db25.html" xr:uid="{40976B64-3A0C-454C-AFE9-69CFF96F94FB}"/>
    <hyperlink ref="B471" r:id="rId269" display="https://www.dst.dk/websites/extranet/db25/db25.html" xr:uid="{3F7DFEF4-C74B-459D-BE4E-C7B59AE0528C}"/>
    <hyperlink ref="B474" r:id="rId270" display="https://www.dst.dk/websites/extranet/db25/db25.html" xr:uid="{3231161F-7651-4848-A54D-980B5A69E7D4}"/>
    <hyperlink ref="B477" r:id="rId271" display="https://www.dst.dk/websites/extranet/db25/db25.html" xr:uid="{D42E74ED-1890-4DD7-9F5A-164DE227F511}"/>
    <hyperlink ref="B478" r:id="rId272" display="https://www.dst.dk/websites/extranet/db25/db25.html" xr:uid="{551B3F87-83CD-482E-AED5-4120681713FF}"/>
    <hyperlink ref="B481" r:id="rId273" display="https://www.dst.dk/websites/extranet/db25/db25.html" xr:uid="{A9C561E7-0F3A-4746-9100-B8173FA2C53E}"/>
    <hyperlink ref="B482" r:id="rId274" display="https://www.dst.dk/websites/extranet/db25/db25.html" xr:uid="{4E1B6F6E-474F-4319-8112-936CE40CB2B1}"/>
    <hyperlink ref="B483" r:id="rId275" display="https://www.dst.dk/websites/extranet/db25/db25.html" xr:uid="{5DF35536-391B-4573-9C04-DB2F78BC292B}"/>
    <hyperlink ref="B484" r:id="rId276" display="https://www.dst.dk/websites/extranet/db25/db25.html" xr:uid="{A8297410-AA9D-40CB-B6C7-F63305A128EA}"/>
    <hyperlink ref="B485" r:id="rId277" display="https://www.dst.dk/websites/extranet/db25/db25.html" xr:uid="{8CD58083-40FF-426A-9714-8E50E93F0ACB}"/>
    <hyperlink ref="B486" r:id="rId278" display="https://www.dst.dk/websites/extranet/db25/db25.html" xr:uid="{FDF0E1DF-5368-4DFB-A6DF-112AD2FE9815}"/>
    <hyperlink ref="B487" r:id="rId279" display="https://www.dst.dk/websites/extranet/db25/db25.html" xr:uid="{394795DE-91E6-47C3-9082-17D6408B283E}"/>
    <hyperlink ref="B488" r:id="rId280" display="https://www.dst.dk/websites/extranet/db25/db25.html" xr:uid="{933A9319-EB9F-4C60-98C7-F32A072224BB}"/>
    <hyperlink ref="B489" r:id="rId281" display="https://www.dst.dk/websites/extranet/db25/db25.html" xr:uid="{D07FC19C-5C19-489D-9D72-4F5781176D83}"/>
    <hyperlink ref="B490" r:id="rId282" display="https://www.dst.dk/websites/extranet/db25/db25.html" xr:uid="{22E8A7C3-0D10-4022-9894-7D12CA8DFFF3}"/>
    <hyperlink ref="B493" r:id="rId283" display="https://www.dst.dk/websites/extranet/db25/db25.html" xr:uid="{82AAD66D-FADA-4F05-92BF-5BE39592FAC3}"/>
    <hyperlink ref="B494" r:id="rId284" display="https://www.dst.dk/websites/extranet/db25/db25.html" xr:uid="{30DC0A06-55FB-43BE-B3F7-633C8F134C4F}"/>
    <hyperlink ref="B495" r:id="rId285" display="https://www.dst.dk/websites/extranet/db25/db25.html" xr:uid="{B90E6D19-FDF0-4457-A810-64424602869B}"/>
    <hyperlink ref="B496" r:id="rId286" display="https://www.dst.dk/websites/extranet/db25/db25.html" xr:uid="{E185E2FA-2623-4C72-B8AE-9C1F8EA1A781}"/>
    <hyperlink ref="B497" r:id="rId287" display="https://www.dst.dk/websites/extranet/db25/db25.html" xr:uid="{5DE88E48-7E13-44AC-A3E6-E1F1906F9EB1}"/>
    <hyperlink ref="B498" r:id="rId288" display="https://www.dst.dk/websites/extranet/db25/db25.html" xr:uid="{C3FD4380-0557-4A61-BAE0-CA189552F78C}"/>
    <hyperlink ref="B501" r:id="rId289" display="https://www.dst.dk/websites/extranet/db25/db25.html" xr:uid="{84204899-76BB-4DF6-B6C4-231FC9EED8F5}"/>
    <hyperlink ref="B504" r:id="rId290" display="https://www.dst.dk/websites/extranet/db25/db25.html" xr:uid="{75466981-ED7A-412A-B8FD-352C5C5BF6E0}"/>
    <hyperlink ref="B505" r:id="rId291" display="https://www.dst.dk/websites/extranet/db25/db25.html" xr:uid="{C82ABD65-4841-4E06-90C1-184AA268C7A5}"/>
    <hyperlink ref="B506" r:id="rId292" display="https://www.dst.dk/websites/extranet/db25/db25.html" xr:uid="{B773F7E2-903C-4628-A3B9-09343EDCD89A}"/>
    <hyperlink ref="B507" r:id="rId293" display="https://www.dst.dk/websites/extranet/db25/db25.html" xr:uid="{3D87BA39-D1CB-4A45-93B8-35130ED91885}"/>
    <hyperlink ref="B508" r:id="rId294" display="https://www.dst.dk/websites/extranet/db25/db25.html" xr:uid="{8726AFF2-4EEF-4437-867E-E7B7B963A444}"/>
    <hyperlink ref="B509" r:id="rId295" display="https://www.dst.dk/websites/extranet/db25/db25.html" xr:uid="{5077D304-E016-4AC3-9C21-EEFA993139D0}"/>
    <hyperlink ref="B510" r:id="rId296" display="https://www.dst.dk/websites/extranet/db25/db25.html" xr:uid="{0A8863DF-8E7E-40D6-86B1-74012E2664D8}"/>
    <hyperlink ref="B511" r:id="rId297" display="https://www.dst.dk/websites/extranet/db25/db25.html" xr:uid="{81F72433-95DE-485E-B50F-807DD8A03EBB}"/>
    <hyperlink ref="B512" r:id="rId298" display="https://www.dst.dk/websites/extranet/db25/db25.html" xr:uid="{7E3448C5-F6C7-44FF-869A-2163597EEB25}"/>
    <hyperlink ref="B513" r:id="rId299" display="https://www.dst.dk/websites/extranet/db25/db25.html" xr:uid="{3ECB08FC-FC2B-4917-A9FF-60D5BCC42956}"/>
    <hyperlink ref="B514" r:id="rId300" display="https://www.dst.dk/websites/extranet/db25/db25.html" xr:uid="{27A569F8-B86F-4218-A0B4-3F8751C32F89}"/>
    <hyperlink ref="B515" r:id="rId301" display="https://www.dst.dk/websites/extranet/db25/db25.html" xr:uid="{BEA49BBA-9230-4A07-BA87-B4C743A7DB87}"/>
    <hyperlink ref="B518" r:id="rId302" display="https://www.dst.dk/websites/extranet/db25/db25.html" xr:uid="{E452CCFB-0E12-4A3E-8559-7DFC26160BB5}"/>
    <hyperlink ref="B521" r:id="rId303" display="https://www.dst.dk/websites/extranet/db25/db25.html" xr:uid="{368A8148-8027-46EC-A5D4-7CA42AD1A5C5}"/>
    <hyperlink ref="B522" r:id="rId304" display="https://www.dst.dk/websites/extranet/db25/db25.html" xr:uid="{0003EA6C-1C52-46DE-B8B9-6064CE529D3D}"/>
    <hyperlink ref="B523" r:id="rId305" display="https://www.dst.dk/websites/extranet/db25/db25.html" xr:uid="{8A00086C-9CC5-4849-A205-DBE3B239015F}"/>
    <hyperlink ref="B524" r:id="rId306" display="https://www.dst.dk/websites/extranet/db25/db25.html" xr:uid="{27E76623-DED8-4719-8BC9-6659FF0EACBB}"/>
    <hyperlink ref="B527" r:id="rId307" display="https://www.dst.dk/websites/extranet/db25/db25.html" xr:uid="{26001493-C362-404C-A9BF-15F99BAC2E0F}"/>
    <hyperlink ref="B530" r:id="rId308" display="https://www.dst.dk/websites/extranet/db25/db25.html" xr:uid="{1297D569-1DD6-43AB-BAA9-4EBB124D9AB4}"/>
    <hyperlink ref="B533" r:id="rId309" display="https://www.dst.dk/websites/extranet/db25/db25.html" xr:uid="{8AC3B57A-4360-4464-A75D-B0D26BA4B8BE}"/>
    <hyperlink ref="B534" r:id="rId310" display="https://www.dst.dk/websites/extranet/db25/db25.html" xr:uid="{4BC1D157-3E42-4C82-BF24-2996780D0C45}"/>
    <hyperlink ref="B537" r:id="rId311" display="https://www.dst.dk/websites/extranet/db25/db25.html" xr:uid="{3838F119-075A-419D-81DD-5A5BAE2907A7}"/>
    <hyperlink ref="B538" r:id="rId312" display="https://www.dst.dk/websites/extranet/db25/db25.html" xr:uid="{0A9F135E-0B7D-461D-AD27-346C83A71832}"/>
    <hyperlink ref="B539" r:id="rId313" display="https://www.dst.dk/websites/extranet/db25/db25.html" xr:uid="{E0180BB4-7285-4585-8D4F-57DAB11EB550}"/>
    <hyperlink ref="B542" r:id="rId314" display="https://www.dst.dk/websites/extranet/db25/db25.html" xr:uid="{4CEADC39-73AE-4501-A0B0-80AEDD0983D8}"/>
    <hyperlink ref="B545" r:id="rId315" display="https://www.dst.dk/websites/extranet/db25/db25.html" xr:uid="{98141BE1-B94E-4107-AED9-26BA1E2DC3BD}"/>
    <hyperlink ref="B546" r:id="rId316" display="https://www.dst.dk/websites/extranet/db25/db25.html" xr:uid="{73937443-FFC4-4A8A-A93B-517D90960C82}"/>
    <hyperlink ref="B549" r:id="rId317" display="https://www.dst.dk/websites/extranet/db25/db25.html" xr:uid="{92742D87-5420-4469-B953-8E12F894C096}"/>
    <hyperlink ref="B552" r:id="rId318" display="https://www.dst.dk/websites/extranet/db25/db25.html" xr:uid="{3ADBF2A2-269B-412A-99B5-999841375B8B}"/>
    <hyperlink ref="B553" r:id="rId319" display="https://www.dst.dk/websites/extranet/db25/db25.html" xr:uid="{E03DB712-58A9-4F44-A4AC-ABEFED93E10E}"/>
    <hyperlink ref="B554" r:id="rId320" display="https://www.dst.dk/websites/extranet/db25/db25.html" xr:uid="{CAE90CF1-7467-4936-85CE-B1DC9270D511}"/>
    <hyperlink ref="B555" r:id="rId321" display="https://www.dst.dk/websites/extranet/db25/db25.html" xr:uid="{AA3E5A97-1501-4137-9A71-B1F13569CBA4}"/>
    <hyperlink ref="B558" r:id="rId322" display="https://www.dst.dk/websites/extranet/db25/db25.html" xr:uid="{AAFA2FC4-633C-4D51-9D20-36A746B79BBD}"/>
    <hyperlink ref="B561" r:id="rId323" display="https://www.dst.dk/websites/extranet/db25/db25.html" xr:uid="{7164E911-E5C3-416C-817A-3EBFA5F67382}"/>
    <hyperlink ref="B562" r:id="rId324" display="https://www.dst.dk/websites/extranet/db25/db25.html" xr:uid="{C543AFC1-292C-4F19-8383-419D74E31FE4}"/>
    <hyperlink ref="B565" r:id="rId325" display="https://www.dst.dk/websites/extranet/db25/db25.html" xr:uid="{F3549DB8-2B47-41CC-9E1C-B34318DBAF01}"/>
    <hyperlink ref="B566" r:id="rId326" display="https://www.dst.dk/websites/extranet/db25/db25.html" xr:uid="{18EAC3CE-C337-4D72-979C-F8EE9BCB64DE}"/>
    <hyperlink ref="B567" r:id="rId327" display="https://www.dst.dk/websites/extranet/db25/db25.html" xr:uid="{902A0A3A-55C3-4FFD-BCC8-F5DBDA1E40A5}"/>
    <hyperlink ref="B568" r:id="rId328" display="https://www.dst.dk/websites/extranet/db25/db25.html" xr:uid="{8B7EC111-B6B0-49FE-9FFB-36BD99A9AEB7}"/>
    <hyperlink ref="B571" r:id="rId329" display="https://www.dst.dk/websites/extranet/db25/db25.html" xr:uid="{B03B332C-9F0A-4CF9-BBC2-B5B9926A6181}"/>
    <hyperlink ref="B574" r:id="rId330" display="https://www.dst.dk/websites/extranet/db25/db25.html" xr:uid="{5D6891A5-B775-4FD1-AEF0-A7E291FE1001}"/>
    <hyperlink ref="B577" r:id="rId331" display="https://www.dst.dk/websites/extranet/db25/db25.html" xr:uid="{A5D04930-19C5-4449-908E-738702818264}"/>
    <hyperlink ref="B580" r:id="rId332" display="https://www.dst.dk/websites/extranet/db25/db25.html" xr:uid="{418ECE56-E816-452E-ACD5-BFF9421E282F}"/>
    <hyperlink ref="B581" r:id="rId333" display="https://www.dst.dk/websites/extranet/db25/db25.html" xr:uid="{49391E58-5063-4AA6-A4C5-449BC2D354DA}"/>
    <hyperlink ref="B584" r:id="rId334" display="https://www.dst.dk/websites/extranet/db25/db25.html" xr:uid="{B795CE1F-8CA1-4C2E-AF47-ADD91CA3D8F5}"/>
    <hyperlink ref="B587" r:id="rId335" display="https://www.dst.dk/websites/extranet/db25/db25.html" xr:uid="{BB95D784-2E37-48BE-BFEE-94AA9606BB4C}"/>
    <hyperlink ref="B588" r:id="rId336" display="https://www.dst.dk/websites/extranet/db25/db25.html" xr:uid="{E820AB7A-8758-42B4-89C3-1EDD2107DBFA}"/>
    <hyperlink ref="B591" r:id="rId337" display="https://www.dst.dk/websites/extranet/db25/db25.html" xr:uid="{BFD36DB3-9033-4FB9-A5DA-7242CE0B4025}"/>
    <hyperlink ref="B594" r:id="rId338" display="https://www.dst.dk/websites/extranet/db25/db25.html" xr:uid="{A6F7BE5A-2D75-4DF7-B031-EA22593C4AF7}"/>
    <hyperlink ref="B597" r:id="rId339" display="https://www.dst.dk/websites/extranet/db25/db25.html" xr:uid="{7379EC27-FB7B-4CB3-89F7-17B0A470E6BC}"/>
    <hyperlink ref="B598" r:id="rId340" display="https://www.dst.dk/websites/extranet/db25/db25.html" xr:uid="{B0BA14CC-9CF6-4963-8235-88C7E122A333}"/>
    <hyperlink ref="B601" r:id="rId341" display="https://www.dst.dk/websites/extranet/db25/db25.html" xr:uid="{FF3225D2-60EB-4C47-A145-BC8BC6464BB5}"/>
    <hyperlink ref="B602" r:id="rId342" display="https://www.dst.dk/websites/extranet/db25/db25.html" xr:uid="{D2641174-3DB4-4295-A197-C3230C30C2C8}"/>
    <hyperlink ref="B605" r:id="rId343" display="https://www.dst.dk/websites/extranet/db25/db25.html" xr:uid="{467B2D23-D90E-4D5F-B08D-609B4CEA3231}"/>
    <hyperlink ref="B608" r:id="rId344" display="https://www.dst.dk/websites/extranet/db25/db25.html" xr:uid="{DF128529-5542-49C5-9E1E-BCFF63FDC09A}"/>
    <hyperlink ref="B611" r:id="rId345" display="https://www.dst.dk/websites/extranet/db25/db25.html" xr:uid="{A4AEC60A-2F9C-4890-B375-E26F89B16CA3}"/>
    <hyperlink ref="B614" r:id="rId346" display="https://www.dst.dk/websites/extranet/db25/db25.html" xr:uid="{29DC7822-0A19-4FFB-8892-DB0B84A0C67E}"/>
    <hyperlink ref="B617" r:id="rId347" display="https://www.dst.dk/websites/extranet/db25/db25.html" xr:uid="{B44EFDB7-3FE5-497E-AF30-DF6D51DD4564}"/>
    <hyperlink ref="B618" r:id="rId348" display="https://www.dst.dk/websites/extranet/db25/db25.html" xr:uid="{8A82B5AF-1874-431A-A0DE-D0284D487C28}"/>
    <hyperlink ref="B619" r:id="rId349" display="https://www.dst.dk/websites/extranet/db25/db25.html" xr:uid="{574ADCAC-58F0-4640-AA60-A99CA2AB8F42}"/>
    <hyperlink ref="B620" r:id="rId350" display="https://www.dst.dk/websites/extranet/db25/db25.html" xr:uid="{AE46EF34-1C50-4C40-88D6-592AD8A8D34C}"/>
    <hyperlink ref="B623" r:id="rId351" display="https://www.dst.dk/websites/extranet/db25/db25.html" xr:uid="{E74828AD-3C9C-4A82-A9FE-DAFF68903707}"/>
    <hyperlink ref="B624" r:id="rId352" display="https://www.dst.dk/websites/extranet/db25/db25.html" xr:uid="{00F5C765-A1C8-4547-A2F5-FADC49E8B197}"/>
    <hyperlink ref="B625" r:id="rId353" display="https://www.dst.dk/websites/extranet/db25/db25.html" xr:uid="{138354A7-4505-407F-A073-B33272FA0CB9}"/>
    <hyperlink ref="B626" r:id="rId354" display="https://www.dst.dk/websites/extranet/db25/db25.html" xr:uid="{5AE82E42-90C4-4A7A-9EAA-9C41BA2C01F5}"/>
    <hyperlink ref="B627" r:id="rId355" display="https://www.dst.dk/websites/extranet/db25/db25.html" xr:uid="{5603E9BC-7519-4E18-97DE-16CE6E491995}"/>
    <hyperlink ref="B630" r:id="rId356" display="https://www.dst.dk/websites/extranet/db25/db25.html" xr:uid="{68BB0809-DCC6-43BC-A5C8-BC800273458F}"/>
    <hyperlink ref="B631" r:id="rId357" display="https://www.dst.dk/websites/extranet/db25/db25.html" xr:uid="{7003B005-8BEA-4D8B-8211-DD98003549FB}"/>
    <hyperlink ref="B632" r:id="rId358" display="https://www.dst.dk/websites/extranet/db25/db25.html" xr:uid="{92E2633E-0598-48DF-9BAA-C5172D6C7ADC}"/>
    <hyperlink ref="B635" r:id="rId359" display="https://www.dst.dk/websites/extranet/db25/db25.html" xr:uid="{F41F9097-A9CD-41DC-BD92-6165B0501A1C}"/>
    <hyperlink ref="B638" r:id="rId360" display="https://www.dst.dk/websites/extranet/db25/db25.html" xr:uid="{4366A428-A6C1-4A88-B00C-352525B7F5F0}"/>
    <hyperlink ref="B641" r:id="rId361" display="https://www.dst.dk/websites/extranet/db25/db25.html" xr:uid="{79897D28-1ECC-47C1-8320-493AB0325861}"/>
    <hyperlink ref="B642" r:id="rId362" display="https://www.dst.dk/websites/extranet/db25/db25.html" xr:uid="{AFF32EC8-2130-40AC-AE27-B978283BC81D}"/>
    <hyperlink ref="B643" r:id="rId363" display="https://www.dst.dk/websites/extranet/db25/db25.html" xr:uid="{C1EE999E-1C0B-4319-85E7-9F3853165128}"/>
    <hyperlink ref="B646" r:id="rId364" display="https://www.dst.dk/websites/extranet/db25/db25.html" xr:uid="{4425BB65-FE1F-4E4F-9EC2-CD1C49B10A58}"/>
    <hyperlink ref="B649" r:id="rId365" display="https://www.dst.dk/websites/extranet/db25/db25.html" xr:uid="{B3B473E8-A9BC-4948-9022-E4722CF11042}"/>
    <hyperlink ref="B652" r:id="rId366" display="https://www.dst.dk/websites/extranet/db25/db25.html" xr:uid="{F30293FB-A015-4763-BB76-F7BCAC27F4A2}"/>
    <hyperlink ref="B653" r:id="rId367" display="https://www.dst.dk/websites/extranet/db25/db25.html" xr:uid="{9C5C86DB-2CD1-4547-8841-4C33D73E00F5}"/>
    <hyperlink ref="B656" r:id="rId368" display="https://www.dst.dk/websites/extranet/db25/db25.html" xr:uid="{F9F84C5F-5341-46EF-ABF1-541F5443F1A8}"/>
    <hyperlink ref="B657" r:id="rId369" display="https://www.dst.dk/websites/extranet/db25/db25.html" xr:uid="{BE24526C-23DD-4042-89ED-33CEB070E76D}"/>
    <hyperlink ref="B658" r:id="rId370" display="https://www.dst.dk/websites/extranet/db25/db25.html" xr:uid="{67A102C2-4EA0-444B-BB81-786B6AEBB85B}"/>
    <hyperlink ref="B661" r:id="rId371" display="https://www.dst.dk/websites/extranet/db25/db25.html" xr:uid="{485C2C2A-DBA5-41B5-A48C-CA31E414C0B9}"/>
    <hyperlink ref="B664" r:id="rId372" display="https://www.dst.dk/websites/extranet/db25/db25.html" xr:uid="{BBE8C161-1C7B-4151-9806-C38F297888DD}"/>
    <hyperlink ref="B667" r:id="rId373" display="https://www.dst.dk/websites/extranet/db25/db25.html" xr:uid="{BB6628D2-2731-46FD-A4FF-4BFB00AE9F2F}"/>
    <hyperlink ref="B668" r:id="rId374" display="https://www.dst.dk/websites/extranet/db25/db25.html" xr:uid="{51E94A9E-7D96-4290-AC9E-E01D5B828AAC}"/>
    <hyperlink ref="B671" r:id="rId375" display="https://www.dst.dk/websites/extranet/db25/db25.html" xr:uid="{16A22B02-EB5A-4433-AB6D-0AA43FBE8BB9}"/>
    <hyperlink ref="B672" r:id="rId376" display="https://www.dst.dk/websites/extranet/db25/db25.html" xr:uid="{1AA5C6E7-4669-4487-AC0C-0C59A3C1635B}"/>
    <hyperlink ref="B673" r:id="rId377" display="https://www.dst.dk/websites/extranet/db25/db25.html" xr:uid="{DFAB5DA7-7A40-4936-B2E4-DAEA3D1482C3}"/>
    <hyperlink ref="B674" r:id="rId378" display="https://www.dst.dk/websites/extranet/db25/db25.html" xr:uid="{7EDBF278-2D59-4DA6-A335-68E308E3C934}"/>
    <hyperlink ref="B677" r:id="rId379" display="https://www.dst.dk/websites/extranet/db25/db25.html" xr:uid="{152D57BB-2588-41C6-9604-CEE38309684B}"/>
    <hyperlink ref="B678" r:id="rId380" display="https://www.dst.dk/websites/extranet/db25/db25.html" xr:uid="{00606A0D-C9D4-4820-BD23-6E431C92364A}"/>
    <hyperlink ref="B681" r:id="rId381" display="https://www.dst.dk/websites/extranet/db25/db25.html" xr:uid="{512E020E-8BA6-4FC6-A491-F0CD775FE513}"/>
    <hyperlink ref="B682" r:id="rId382" display="https://www.dst.dk/websites/extranet/db25/db25.html" xr:uid="{92B43A40-A598-4E49-B833-2552EA7884BE}"/>
    <hyperlink ref="B683" r:id="rId383" display="https://www.dst.dk/websites/extranet/db25/db25.html" xr:uid="{4892B716-1D37-40EA-9E20-EFE394B1FA1B}"/>
    <hyperlink ref="B684" r:id="rId384" display="https://www.dst.dk/websites/extranet/db25/db25.html" xr:uid="{BCCF47DB-46DB-4F64-9832-F5585ABE5A94}"/>
    <hyperlink ref="B685" r:id="rId385" display="https://www.dst.dk/websites/extranet/db25/db25.html" xr:uid="{50634AEB-9590-482C-9569-5203C16D3D6C}"/>
    <hyperlink ref="B686" r:id="rId386" display="https://www.dst.dk/websites/extranet/db25/db25.html" xr:uid="{1AB490D0-7A15-4669-AF2A-7A9111E62285}"/>
    <hyperlink ref="B687" r:id="rId387" display="https://www.dst.dk/websites/extranet/db25/db25.html" xr:uid="{4092C357-A937-43FE-9F16-5F77E238B61C}"/>
    <hyperlink ref="B688" r:id="rId388" display="https://www.dst.dk/websites/extranet/db25/db25.html" xr:uid="{6EEB5F1E-E8BD-4E28-B7F8-C1662221CB1E}"/>
    <hyperlink ref="B689" r:id="rId389" display="https://www.dst.dk/websites/extranet/db25/db25.html" xr:uid="{A9A4BA8C-2763-4D5C-9F86-339943450E0E}"/>
    <hyperlink ref="B690" r:id="rId390" display="https://www.dst.dk/websites/extranet/db25/db25.html" xr:uid="{859C46DD-DEF8-4C8D-A063-AF3F05F795F7}"/>
    <hyperlink ref="B691" r:id="rId391" display="https://www.dst.dk/websites/extranet/db25/db25.html" xr:uid="{C502AB2A-3455-4D5B-8826-47E67F133843}"/>
    <hyperlink ref="B692" r:id="rId392" display="https://www.dst.dk/websites/extranet/db25/db25.html" xr:uid="{E2CD842E-9C19-495C-BFC8-39D63AA92722}"/>
    <hyperlink ref="B693" r:id="rId393" display="https://www.dst.dk/websites/extranet/db25/db25.html" xr:uid="{FD337654-F5E4-4603-987D-E4DA6A6F6939}"/>
    <hyperlink ref="B694" r:id="rId394" display="https://www.dst.dk/websites/extranet/db25/db25.html" xr:uid="{8780A207-123A-44D6-AC4C-542CF151F769}"/>
    <hyperlink ref="B695" r:id="rId395" display="https://www.dst.dk/websites/extranet/db25/db25.html" xr:uid="{E80E2157-84E2-49FF-824B-49DA12F77769}"/>
    <hyperlink ref="B698" r:id="rId396" display="https://www.dst.dk/websites/extranet/db25/db25.html" xr:uid="{A3DFC839-262E-46E9-8EFB-6B7D8D240410}"/>
    <hyperlink ref="B699" r:id="rId397" display="https://www.dst.dk/websites/extranet/db25/db25.html" xr:uid="{11E7B962-B454-41F8-ADFC-1A12AA2EE9AE}"/>
    <hyperlink ref="B700" r:id="rId398" display="https://www.dst.dk/websites/extranet/db25/db25.html" xr:uid="{F4891C26-5FE5-4838-90A8-4BFC8FC47EA1}"/>
    <hyperlink ref="B703" r:id="rId399" display="https://www.dst.dk/websites/extranet/db25/db25.html" xr:uid="{04AC3D7E-E65F-41EF-99D2-9C6B95FF9D73}"/>
    <hyperlink ref="B704" r:id="rId400" display="https://www.dst.dk/websites/extranet/db25/db25.html" xr:uid="{D14087F5-25EA-4787-AFEB-009E02DB2D78}"/>
    <hyperlink ref="B705" r:id="rId401" display="https://www.dst.dk/websites/extranet/db25/db25.html" xr:uid="{CAF6132C-D9F6-476D-97F1-772960F83C3B}"/>
    <hyperlink ref="B706" r:id="rId402" display="https://www.dst.dk/websites/extranet/db25/db25.html" xr:uid="{73C45D2B-DA47-4269-89C9-9C76BB4F06E4}"/>
    <hyperlink ref="B707" r:id="rId403" display="https://www.dst.dk/websites/extranet/db25/db25.html" xr:uid="{0DEEA08D-27B4-4048-9071-DF6F6916FEBA}"/>
    <hyperlink ref="B708" r:id="rId404" display="https://www.dst.dk/websites/extranet/db25/db25.html" xr:uid="{943CBEBD-6F09-431C-B166-6113AB0B0DC4}"/>
    <hyperlink ref="B709" r:id="rId405" display="https://www.dst.dk/websites/extranet/db25/db25.html" xr:uid="{474F27B6-9182-40BE-BEA0-443323597978}"/>
    <hyperlink ref="B710" r:id="rId406" display="https://www.dst.dk/websites/extranet/db25/db25.html" xr:uid="{BB8FCBA5-8312-4F3F-8CC2-6C0533285BD6}"/>
    <hyperlink ref="B713" r:id="rId407" display="https://www.dst.dk/websites/extranet/db25/db25.html" xr:uid="{1B385BD8-74E8-4EBA-AEFE-83F3AAEC5490}"/>
    <hyperlink ref="B714" r:id="rId408" display="https://www.dst.dk/websites/extranet/db25/db25.html" xr:uid="{8139A77F-C9BB-4AF9-83F4-0F9F283D2771}"/>
    <hyperlink ref="B717" r:id="rId409" display="https://www.dst.dk/websites/extranet/db25/db25.html" xr:uid="{D38590FB-9745-49E1-A47F-F027F83A6333}"/>
    <hyperlink ref="B718" r:id="rId410" display="https://www.dst.dk/websites/extranet/db25/db25.html" xr:uid="{08805C85-D4A4-4D05-A37E-706D261D0677}"/>
    <hyperlink ref="B721" r:id="rId411" display="https://www.dst.dk/websites/extranet/db25/db25.html" xr:uid="{0196D0C1-1751-4320-8DF0-A872FA00986B}"/>
    <hyperlink ref="B724" r:id="rId412" display="https://www.dst.dk/websites/extranet/db25/db25.html" xr:uid="{ABE93BF7-C2D4-4F81-BA10-9478066B009A}"/>
    <hyperlink ref="B725" r:id="rId413" display="https://www.dst.dk/websites/extranet/db25/db25.html" xr:uid="{8CA3CC8E-B670-403E-B8F5-B3AE0DEF81C3}"/>
    <hyperlink ref="B726" r:id="rId414" display="https://www.dst.dk/websites/extranet/db25/db25.html" xr:uid="{A331A1D9-0260-4DA4-B67D-7248B0A4E521}"/>
    <hyperlink ref="B729" r:id="rId415" display="https://www.dst.dk/websites/extranet/db25/db25.html" xr:uid="{A7A9EA0A-1B49-4DEB-9016-C34F364F36A9}"/>
    <hyperlink ref="B730" r:id="rId416" display="https://www.dst.dk/websites/extranet/db25/db25.html" xr:uid="{DA888253-1D2C-4669-B6AE-C6DF729B4D9E}"/>
    <hyperlink ref="B731" r:id="rId417" display="https://www.dst.dk/websites/extranet/db25/db25.html" xr:uid="{739AC128-EC7F-4986-8089-B56260773D56}"/>
    <hyperlink ref="B732" r:id="rId418" display="https://www.dst.dk/websites/extranet/db25/db25.html" xr:uid="{E91CE9F2-7285-4E74-8134-68E9CB447F51}"/>
    <hyperlink ref="B733" r:id="rId419" display="https://www.dst.dk/websites/extranet/db25/db25.html" xr:uid="{0343D1E4-80E2-4D90-92BA-CB8B2D6D0623}"/>
    <hyperlink ref="B734" r:id="rId420" display="https://www.dst.dk/websites/extranet/db25/db25.html" xr:uid="{506743F7-D452-4F21-BC55-CB9173E745F9}"/>
    <hyperlink ref="B737" r:id="rId421" display="https://www.dst.dk/websites/extranet/db25/db25.html" xr:uid="{4C4E192E-148B-47D3-9CBB-BFDFECF477C9}"/>
    <hyperlink ref="B740" r:id="rId422" display="https://www.dst.dk/websites/extranet/db25/db25.html" xr:uid="{868BAF3C-7C20-4440-AC4C-76F34EB8B884}"/>
    <hyperlink ref="B743" r:id="rId423" display="https://www.dst.dk/websites/extranet/db25/db25.html" xr:uid="{D38820FC-751F-47B5-B38A-4FC11FE26830}"/>
    <hyperlink ref="B744" r:id="rId424" display="https://www.dst.dk/websites/extranet/db25/db25.html" xr:uid="{FAB51343-1A74-41DC-9751-4ADB4239E586}"/>
    <hyperlink ref="B747" r:id="rId425" display="https://www.dst.dk/websites/extranet/db25/db25.html" xr:uid="{B103E224-38E6-47FB-8B16-4AE592F644E9}"/>
    <hyperlink ref="B748" r:id="rId426" display="https://www.dst.dk/websites/extranet/db25/db25.html" xr:uid="{317BA0D9-1B32-4386-B18A-AD1BC622A531}"/>
    <hyperlink ref="B749" r:id="rId427" display="https://www.dst.dk/websites/extranet/db25/db25.html" xr:uid="{2364DE48-09ED-4B6A-B213-5AE4AA88293F}"/>
    <hyperlink ref="B750" r:id="rId428" display="https://www.dst.dk/websites/extranet/db25/db25.html" xr:uid="{2AE8B67B-16F9-46F0-A73D-4C60D3B183AF}"/>
    <hyperlink ref="B753" r:id="rId429" display="https://www.dst.dk/websites/extranet/db25/db25.html" xr:uid="{85A52032-3196-4905-A925-F38CEA0FC5FB}"/>
    <hyperlink ref="B754" r:id="rId430" display="https://www.dst.dk/websites/extranet/db25/db25.html" xr:uid="{B57586CB-BC7B-43B1-9BB0-07738565A421}"/>
    <hyperlink ref="B755" r:id="rId431" display="https://www.dst.dk/websites/extranet/db25/db25.html" xr:uid="{279B101B-AE4C-43EA-8679-E0AB24A67948}"/>
    <hyperlink ref="B756" r:id="rId432" display="https://www.dst.dk/websites/extranet/db25/db25.html" xr:uid="{6E2B3179-6B36-47A3-861A-DC81CF693EE5}"/>
    <hyperlink ref="B757" r:id="rId433" display="https://www.dst.dk/websites/extranet/db25/db25.html" xr:uid="{ADB818D5-59D5-4B19-88EF-741530DEE110}"/>
    <hyperlink ref="B758" r:id="rId434" display="https://www.dst.dk/websites/extranet/db25/db25.html" xr:uid="{AE650F29-0EBF-4616-8EA1-4B1916237E3F}"/>
    <hyperlink ref="B761" r:id="rId435" display="https://www.dst.dk/websites/extranet/db25/db25.html" xr:uid="{8940D833-D880-4667-8AAA-993D673FD830}"/>
    <hyperlink ref="B762" r:id="rId436" display="https://www.dst.dk/websites/extranet/db25/db25.html" xr:uid="{106B0152-0A5E-4767-8CF5-FD152E39FE19}"/>
    <hyperlink ref="B765" r:id="rId437" display="https://www.dst.dk/websites/extranet/db25/db25.html" xr:uid="{A28B716D-4D87-4105-8593-6DEB774F1EDD}"/>
    <hyperlink ref="B766" r:id="rId438" display="https://www.dst.dk/websites/extranet/db25/db25.html" xr:uid="{6C164E2D-00C0-4E7A-AD53-2940C2169F2C}"/>
    <hyperlink ref="B767" r:id="rId439" display="https://www.dst.dk/websites/extranet/db25/db25.html" xr:uid="{6A16F36D-9071-4C00-A5A8-C6496AC3FC53}"/>
    <hyperlink ref="B768" r:id="rId440" display="https://www.dst.dk/websites/extranet/db25/db25.html" xr:uid="{44C800B7-D1F0-40C6-838C-449CDB2DAAC9}"/>
    <hyperlink ref="B769" r:id="rId441" display="https://www.dst.dk/websites/extranet/db25/db25.html" xr:uid="{E2778342-290A-4D63-BB5F-FFC55CB0BB01}"/>
    <hyperlink ref="B770" r:id="rId442" display="https://www.dst.dk/websites/extranet/db25/db25.html" xr:uid="{0CAB1383-37A2-4D5B-9B8D-ADB833E24685}"/>
    <hyperlink ref="B771" r:id="rId443" display="https://www.dst.dk/websites/extranet/db25/db25.html" xr:uid="{E2B5C87A-9617-4076-98F4-B6EE8D5072D6}"/>
    <hyperlink ref="B772" r:id="rId444" display="https://www.dst.dk/websites/extranet/db25/db25.html" xr:uid="{EE8F3F52-78A2-467A-A432-DEDF1C101D05}"/>
    <hyperlink ref="B775" r:id="rId445" display="https://www.dst.dk/websites/extranet/db25/db25.html" xr:uid="{AB6AB481-13AE-489D-8701-27BD25404174}"/>
    <hyperlink ref="B776" r:id="rId446" display="https://www.dst.dk/websites/extranet/db25/db25.html" xr:uid="{8B1484C6-2303-4442-975A-E8BDFB603C1F}"/>
    <hyperlink ref="B779" r:id="rId447" display="https://www.dst.dk/websites/extranet/db25/db25.html" xr:uid="{59B8933C-15FC-40B5-8507-8BB6E5C5C0B6}"/>
    <hyperlink ref="B780" r:id="rId448" display="https://www.dst.dk/websites/extranet/db25/db25.html" xr:uid="{9ADDF1AC-BC5E-4E02-9CCB-6A278F62B36F}"/>
    <hyperlink ref="B781" r:id="rId449" display="https://www.dst.dk/websites/extranet/db25/db25.html" xr:uid="{E16F1202-7538-4F83-BE82-FB8B04BE8A07}"/>
    <hyperlink ref="B782" r:id="rId450" display="https://www.dst.dk/websites/extranet/db25/db25.html" xr:uid="{6E80B4BF-D152-4473-9660-7E13EF5D0FEB}"/>
    <hyperlink ref="B783" r:id="rId451" display="https://www.dst.dk/websites/extranet/db25/db25.html" xr:uid="{E6439C97-0FFD-4DE5-AEB7-8A6A85DC7624}"/>
    <hyperlink ref="B784" r:id="rId452" display="https://www.dst.dk/websites/extranet/db25/db25.html" xr:uid="{D6BDAC3E-8E1A-438A-8F9B-B806B5A3B712}"/>
    <hyperlink ref="B787" r:id="rId453" display="https://www.dst.dk/websites/extranet/db25/db25.html" xr:uid="{9B67BB7D-9077-444E-93B4-41F2BED00C53}"/>
    <hyperlink ref="B788" r:id="rId454" display="https://www.dst.dk/websites/extranet/db25/db25.html" xr:uid="{2A438F11-15A0-48B9-B9D3-1C32C4E20B7E}"/>
    <hyperlink ref="B791" r:id="rId455" display="https://www.dst.dk/websites/extranet/db25/db25.html" xr:uid="{ACB84B86-1ACF-4EA4-8D73-79C5B13131DF}"/>
    <hyperlink ref="B792" r:id="rId456" display="https://www.dst.dk/websites/extranet/db25/db25.html" xr:uid="{00585A7E-CB25-434F-86FA-359671545AFD}"/>
    <hyperlink ref="B795" r:id="rId457" display="https://www.dst.dk/websites/extranet/db25/db25.html" xr:uid="{AF71C000-6DBC-4903-A1EB-F3728DAEB870}"/>
    <hyperlink ref="B796" r:id="rId458" display="https://www.dst.dk/websites/extranet/db25/db25.html" xr:uid="{5CBDB33E-BE60-4E18-9B89-AF72CD4754EF}"/>
    <hyperlink ref="B797" r:id="rId459" display="https://www.dst.dk/websites/extranet/db25/db25.html" xr:uid="{0CF20284-1A13-4995-8649-70E0684FAD36}"/>
    <hyperlink ref="B798" r:id="rId460" display="https://www.dst.dk/websites/extranet/db25/db25.html" xr:uid="{E44C8A54-4762-4306-BDA7-C806950F9AA7}"/>
    <hyperlink ref="B801" r:id="rId461" display="https://www.dst.dk/websites/extranet/db25/db25.html" xr:uid="{67E38A96-2DE5-4A34-9460-EE782C46E994}"/>
    <hyperlink ref="B802" r:id="rId462" display="https://www.dst.dk/websites/extranet/db25/db25.html" xr:uid="{2CC4918E-7CF5-4C71-BA1E-555275B3B3AA}"/>
    <hyperlink ref="B805" r:id="rId463" display="https://www.dst.dk/websites/extranet/db25/db25.html" xr:uid="{56495156-F5B0-4A0B-BDEF-30C0E979D229}"/>
    <hyperlink ref="B806" r:id="rId464" display="https://www.dst.dk/websites/extranet/db25/db25.html" xr:uid="{B7E5D897-6EDD-44A4-A092-7BAB09E95BE6}"/>
    <hyperlink ref="B807" r:id="rId465" display="https://www.dst.dk/websites/extranet/db25/db25.html" xr:uid="{05620BE3-EDA3-4547-8AAF-E9603578DCDB}"/>
    <hyperlink ref="B808" r:id="rId466" display="https://www.dst.dk/websites/extranet/db25/db25.html" xr:uid="{7D977951-DE7A-4750-9788-56AD0352C08F}"/>
    <hyperlink ref="B809" r:id="rId467" display="https://www.dst.dk/websites/extranet/db25/db25.html" xr:uid="{E0476E9D-F0C6-4A63-9CE7-ECF98F49CC5B}"/>
    <hyperlink ref="B810" r:id="rId468" display="https://www.dst.dk/websites/extranet/db25/db25.html" xr:uid="{537C1B6B-CC45-476F-9456-57ACC53A85B8}"/>
    <hyperlink ref="B811" r:id="rId469" display="https://www.dst.dk/websites/extranet/db25/db25.html" xr:uid="{A4F7AB47-508F-40DF-8677-B66D6B2C38DD}"/>
    <hyperlink ref="B812" r:id="rId470" display="https://www.dst.dk/websites/extranet/db25/db25.html" xr:uid="{BA1797C7-A1F0-455E-8867-252CC86DC314}"/>
    <hyperlink ref="B813" r:id="rId471" display="https://www.dst.dk/websites/extranet/db25/db25.html" xr:uid="{2584D61F-71E8-443F-B5DA-AC0D930485FB}"/>
    <hyperlink ref="B816" r:id="rId472" display="https://www.dst.dk/websites/extranet/db25/db25.html" xr:uid="{5E4E610F-3DA6-4370-B256-F912FADD4D5A}"/>
    <hyperlink ref="B819" r:id="rId473" display="https://www.dst.dk/websites/extranet/db25/db25.html" xr:uid="{D6A30C22-F282-41D8-8413-72BC30A50E11}"/>
    <hyperlink ref="B820" r:id="rId474" display="https://www.dst.dk/websites/extranet/db25/db25.html" xr:uid="{8BF78257-5F29-48FF-AC05-9F96925791D3}"/>
    <hyperlink ref="B823" r:id="rId475" display="https://www.dst.dk/websites/extranet/db25/db25.html" xr:uid="{B37AD00F-789F-44F1-9F98-524D53A09CE5}"/>
    <hyperlink ref="B826" r:id="rId476" display="https://www.dst.dk/websites/extranet/db25/db25.html" xr:uid="{B939E479-2381-4861-98A3-8600F38B6501}"/>
    <hyperlink ref="B827" r:id="rId477" display="https://www.dst.dk/websites/extranet/db25/db25.html" xr:uid="{83C77856-3A53-4722-AD50-5E6058110411}"/>
    <hyperlink ref="B828" r:id="rId478" display="https://www.dst.dk/websites/extranet/db25/db25.html" xr:uid="{DA32B301-B6CB-4D7E-AF30-482D5B81BD88}"/>
    <hyperlink ref="B829" r:id="rId479" display="https://www.dst.dk/websites/extranet/db25/db25.html" xr:uid="{35FDEDEF-FF25-4FFA-B110-9A8B42F6B89D}"/>
    <hyperlink ref="B832" r:id="rId480" display="https://www.dst.dk/websites/extranet/db25/db25.html" xr:uid="{176E7287-999B-4085-AAEA-BF1CFEA65945}"/>
    <hyperlink ref="B833" r:id="rId481" display="https://www.dst.dk/websites/extranet/db25/db25.html" xr:uid="{65BDF0DE-A6D3-4796-A703-3245BCF7CA43}"/>
    <hyperlink ref="B834" r:id="rId482" display="https://www.dst.dk/websites/extranet/db25/db25.html" xr:uid="{1A115F81-E367-43E9-B269-F8A68D4C8C63}"/>
    <hyperlink ref="B835" r:id="rId483" display="https://www.dst.dk/websites/extranet/db25/db25.html" xr:uid="{5062A649-DB0F-42DE-B3E4-D97FDCBE3B61}"/>
    <hyperlink ref="B836" r:id="rId484" display="https://www.dst.dk/websites/extranet/db25/db25.html" xr:uid="{BA5E4390-9F37-4806-9BA1-405727A954BB}"/>
    <hyperlink ref="B837" r:id="rId485" display="https://www.dst.dk/websites/extranet/db25/db25.html" xr:uid="{313CBEEA-06B0-4294-9CF8-9883A337C43D}"/>
    <hyperlink ref="B840" r:id="rId486" display="https://www.dst.dk/websites/extranet/db25/db25.html" xr:uid="{202B9BDD-8571-4C70-ABD0-A3C0880AE556}"/>
    <hyperlink ref="B843" r:id="rId487" display="https://www.dst.dk/websites/extranet/db25/db25.html" xr:uid="{E63D384D-E3F8-4B4A-9584-8DE4AEFC3142}"/>
    <hyperlink ref="B844" r:id="rId488" display="https://www.dst.dk/websites/extranet/db25/db25.html" xr:uid="{120EE5AD-AD7F-4D05-A8BC-6DBB123F7F63}"/>
    <hyperlink ref="B845" r:id="rId489" display="https://www.dst.dk/websites/extranet/db25/db25.html" xr:uid="{830A1465-520B-426A-9474-A8528B0BDC2D}"/>
    <hyperlink ref="B846" r:id="rId490" display="https://www.dst.dk/websites/extranet/db25/db25.html" xr:uid="{1699F04B-06A3-4CDB-A8B2-F573B65CCC5B}"/>
    <hyperlink ref="B847" r:id="rId491" display="https://www.dst.dk/websites/extranet/db25/db25.html" xr:uid="{3F36B6E8-D692-47BB-BF61-239E7FE7E624}"/>
    <hyperlink ref="B850" r:id="rId492" display="https://www.dst.dk/websites/extranet/db25/db25.html" xr:uid="{477CCF27-AD07-478A-85BD-011CB1139B03}"/>
    <hyperlink ref="B853" r:id="rId493" display="https://www.dst.dk/websites/extranet/db25/db25.html" xr:uid="{A8E62EF8-02D8-4A59-BA4F-B6E89665B467}"/>
    <hyperlink ref="B856" r:id="rId494" display="https://www.dst.dk/websites/extranet/db25/db25.html" xr:uid="{FC4955E6-7A7A-4503-BA1A-CCAB12A76AFD}"/>
    <hyperlink ref="B859" r:id="rId495" display="https://www.dst.dk/websites/extranet/db25/db25.html" xr:uid="{132AA06E-0DAC-4749-81E5-34BE59A47B5C}"/>
    <hyperlink ref="B860" r:id="rId496" display="https://www.dst.dk/websites/extranet/db25/db25.html" xr:uid="{32BF0835-A773-40DA-9CA6-74B6F3F551AB}"/>
    <hyperlink ref="B861" r:id="rId497" display="https://www.dst.dk/websites/extranet/db25/db25.html" xr:uid="{C0FB0870-D1C1-472C-8C41-0D2242677BA3}"/>
    <hyperlink ref="B862" r:id="rId498" display="https://www.dst.dk/websites/extranet/db25/db25.html" xr:uid="{4163C16F-9235-41F5-A170-F5B6C3364995}"/>
    <hyperlink ref="B863" r:id="rId499" display="https://www.dst.dk/websites/extranet/db25/db25.html" xr:uid="{B87B0E3F-5FB8-47A5-B218-3E15724A2E35}"/>
    <hyperlink ref="B866" r:id="rId500" display="https://www.dst.dk/websites/extranet/db25/db25.html" xr:uid="{C67E30CE-EB72-4F10-9B11-7AD4696616AD}"/>
    <hyperlink ref="B867" r:id="rId501" display="https://www.dst.dk/websites/extranet/db25/db25.html" xr:uid="{EB101855-330F-4C34-804A-A4C32D399DF2}"/>
    <hyperlink ref="B868" r:id="rId502" display="https://www.dst.dk/websites/extranet/db25/db25.html" xr:uid="{8BE8CD44-4FCE-4434-98D3-6459C306FA00}"/>
    <hyperlink ref="B869" r:id="rId503" display="https://www.dst.dk/websites/extranet/db25/db25.html" xr:uid="{5A733B1F-4078-40E9-AA02-C7ED448877A2}"/>
    <hyperlink ref="B870" r:id="rId504" display="https://www.dst.dk/websites/extranet/db25/db25.html" xr:uid="{A240BD3D-C5A8-48FD-AC0C-58EA5793F1C0}"/>
    <hyperlink ref="B873" r:id="rId505" display="https://www.dst.dk/websites/extranet/db25/db25.html" xr:uid="{714E175C-90C1-4ECF-BEF3-A41756922814}"/>
    <hyperlink ref="B876" r:id="rId506" display="https://www.dst.dk/websites/extranet/db25/db25.html" xr:uid="{478D184A-1A7C-4B7B-9169-7257E3B31B31}"/>
    <hyperlink ref="B877" r:id="rId507" display="https://www.dst.dk/websites/extranet/db25/db25.html" xr:uid="{983D680B-EE60-4F4B-BD11-CB1A0FDEA094}"/>
    <hyperlink ref="B878" r:id="rId508" display="https://www.dst.dk/websites/extranet/db25/db25.html" xr:uid="{01C2C4CB-2D0F-4554-8D9C-E1B71203138F}"/>
    <hyperlink ref="B879" r:id="rId509" display="https://www.dst.dk/websites/extranet/db25/db25.html" xr:uid="{84E03C7E-B2A6-45DC-9537-22866B86449B}"/>
    <hyperlink ref="B882" r:id="rId510" display="https://www.dst.dk/websites/extranet/db25/db25.html" xr:uid="{BC000606-2A27-4F10-B079-8AA96974CA39}"/>
    <hyperlink ref="B883" r:id="rId511" display="https://www.dst.dk/websites/extranet/db25/db25.html" xr:uid="{06C3D522-B69C-4F40-AA1B-E93E40986F2D}"/>
    <hyperlink ref="B886" r:id="rId512" display="https://www.dst.dk/websites/extranet/db25/db25.html" xr:uid="{D7B063D1-656C-48EA-8BC1-61809BDB7707}"/>
    <hyperlink ref="B887" r:id="rId513" display="https://www.dst.dk/websites/extranet/db25/db25.html" xr:uid="{B6238083-DE28-4F96-889D-18D2F364E97A}"/>
    <hyperlink ref="B890" r:id="rId514" display="https://www.dst.dk/websites/extranet/db25/db25.html" xr:uid="{1D91B97C-EF75-4707-A6E7-88AA0D1BE241}"/>
    <hyperlink ref="B893" r:id="rId515" display="https://www.dst.dk/websites/extranet/db25/db25.html" xr:uid="{4FC8E71B-2255-4201-AEC8-31513197795B}"/>
    <hyperlink ref="B894" r:id="rId516" display="https://www.dst.dk/websites/extranet/db25/db25.html" xr:uid="{F34CD67F-71AE-4EB7-93A9-F3627BC6FFAC}"/>
    <hyperlink ref="B895" r:id="rId517" display="https://www.dst.dk/websites/extranet/db25/db25.html" xr:uid="{ACCF695D-2E03-463E-A933-E1C8A363926B}"/>
    <hyperlink ref="B898" r:id="rId518" display="https://www.dst.dk/websites/extranet/db25/db25.html" xr:uid="{60388D29-E140-4509-8B0E-1A4BD58D0518}"/>
    <hyperlink ref="B899" r:id="rId519" display="https://www.dst.dk/websites/extranet/db25/db25.html" xr:uid="{3370060C-A85F-4714-B5C7-03F10C5DD51C}"/>
    <hyperlink ref="B900" r:id="rId520" display="https://www.dst.dk/websites/extranet/db25/db25.html" xr:uid="{1B3E0222-1BC4-4FCF-A8A5-CEEB047AE091}"/>
    <hyperlink ref="B901" r:id="rId521" display="https://www.dst.dk/websites/extranet/db25/db25.html" xr:uid="{CAC0BA82-5E1F-4979-A2E1-DA14EC176A5D}"/>
    <hyperlink ref="B902" r:id="rId522" display="https://www.dst.dk/websites/extranet/db25/db25.html" xr:uid="{9AAE9109-5793-400A-BF8F-7020DBA4CA4C}"/>
    <hyperlink ref="B903" r:id="rId523" display="https://www.dst.dk/websites/extranet/db25/db25.html" xr:uid="{F60D9272-C33E-49C1-936A-24B488EB78B8}"/>
    <hyperlink ref="B904" r:id="rId524" display="https://www.dst.dk/websites/extranet/db25/db25.html" xr:uid="{5A1BC74B-175B-4FD9-94C5-F14E74670C50}"/>
    <hyperlink ref="B907" r:id="rId525" display="https://www.dst.dk/websites/extranet/db25/db25.html" xr:uid="{5BF4F4DC-9F51-431C-956A-4E344AA354B5}"/>
    <hyperlink ref="B911" r:id="rId526" display="https://www.dst.dk/websites/extranet/db25/db25.html" xr:uid="{DC0D4CA1-AA25-4E0B-887D-1F62D815DD61}"/>
    <hyperlink ref="B915" r:id="rId527" display="https://www.dst.dk/websites/extranet/db25/db25.html" xr:uid="{80325D75-7483-496B-8F89-73C2063FA5B9}"/>
    <hyperlink ref="B916" r:id="rId528" display="https://www.dst.dk/websites/extranet/db25/db25.html" xr:uid="{4B8770B8-26AF-4DFA-97A5-F6846339715B}"/>
    <hyperlink ref="B917" r:id="rId529" display="https://www.dst.dk/websites/extranet/db25/db25.html" xr:uid="{1BFE2A76-287F-4372-A886-9677A540AD82}"/>
    <hyperlink ref="B918" r:id="rId530" display="https://www.dst.dk/websites/extranet/db25/db25.html" xr:uid="{553CA1B1-C2F8-4E57-AB16-323EC95D1606}"/>
    <hyperlink ref="B919" r:id="rId531" display="https://www.dst.dk/websites/extranet/db25/db25.html" xr:uid="{722CAB67-C42A-470D-AC38-A97739314F27}"/>
    <hyperlink ref="B920" r:id="rId532" display="https://www.dst.dk/websites/extranet/db25/db25.html" xr:uid="{B9B6A913-DE13-46B8-AC3A-D40DF2EC446D}"/>
    <hyperlink ref="B923" r:id="rId533" display="https://www.dst.dk/websites/extranet/db25/db25.html" xr:uid="{992D1F6B-9F77-47A7-B554-36654D1BAED9}"/>
    <hyperlink ref="B924" r:id="rId534" display="https://www.dst.dk/websites/extranet/db25/db25.html" xr:uid="{165830F2-A435-4DE0-B3F2-605D0F70BF40}"/>
    <hyperlink ref="B925" r:id="rId535" display="https://www.dst.dk/websites/extranet/db25/db25.html" xr:uid="{8720D78F-C330-44D8-A069-683FE69F6CDB}"/>
    <hyperlink ref="B926" r:id="rId536" display="https://www.dst.dk/websites/extranet/db25/db25.html" xr:uid="{7A5AE2CD-CFF4-44B7-BE9D-FBAA50DDFBA6}"/>
    <hyperlink ref="B929" r:id="rId537" display="https://www.dst.dk/websites/extranet/db25/db25.html" xr:uid="{57797BE6-9FFB-4A88-8EDB-DDF56713DA07}"/>
    <hyperlink ref="B930" r:id="rId538" display="https://www.dst.dk/websites/extranet/db25/db25.html" xr:uid="{0B51C086-3794-4B38-90F3-E9F466122F0D}"/>
    <hyperlink ref="B931" r:id="rId539" display="https://www.dst.dk/websites/extranet/db25/db25.html" xr:uid="{83412029-A560-4C93-8D20-E1285A92495A}"/>
    <hyperlink ref="B934" r:id="rId540" display="https://www.dst.dk/websites/extranet/db25/db25.html" xr:uid="{0C0B7F07-C376-43F0-BEE8-2FB653326C9D}"/>
    <hyperlink ref="B935" r:id="rId541" display="https://www.dst.dk/websites/extranet/db25/db25.html" xr:uid="{6CFF4005-0620-4036-9055-3D9690C0BBF7}"/>
    <hyperlink ref="B936" r:id="rId542" display="https://www.dst.dk/websites/extranet/db25/db25.html" xr:uid="{E0B3C1FD-1A55-4B01-9B22-AFDE80CF48F4}"/>
    <hyperlink ref="B937" r:id="rId543" display="https://www.dst.dk/websites/extranet/db25/db25.html" xr:uid="{2293D3C7-ABF0-4E6C-B5B7-10B723DCCD6C}"/>
    <hyperlink ref="B938" r:id="rId544" display="https://www.dst.dk/websites/extranet/db25/db25.html" xr:uid="{793EC831-77EE-4CE5-B61B-E2CC025E50F1}"/>
    <hyperlink ref="B939" r:id="rId545" display="https://www.dst.dk/websites/extranet/db25/db25.html" xr:uid="{722C6C11-639C-4A5D-8C77-A4E348CB7D31}"/>
    <hyperlink ref="B940" r:id="rId546" display="https://www.dst.dk/websites/extranet/db25/db25.html" xr:uid="{DDBFFE54-6F99-4DCE-B89D-5B9E4C7FD087}"/>
    <hyperlink ref="B941" r:id="rId547" display="https://www.dst.dk/websites/extranet/db25/db25.html" xr:uid="{28997CB2-E433-4C3D-9F1E-A55295779E49}"/>
    <hyperlink ref="B942" r:id="rId548" display="https://www.dst.dk/websites/extranet/db25/db25.html" xr:uid="{FB1641E9-4980-4C3C-97AB-97019B26801B}"/>
    <hyperlink ref="B943" r:id="rId549" display="https://www.dst.dk/websites/extranet/db25/db25.html" xr:uid="{E4C80577-FAA4-4209-9B6B-D41D57626805}"/>
    <hyperlink ref="B946" r:id="rId550" display="https://www.dst.dk/websites/extranet/db25/db25.html" xr:uid="{D99D220B-BCD5-4D62-A09E-3BFD17ADBC8A}"/>
    <hyperlink ref="B949" r:id="rId551" display="https://www.dst.dk/websites/extranet/db25/db25.html" xr:uid="{D711D500-1EF9-4EC4-BE9B-99B752E27126}"/>
    <hyperlink ref="B952" r:id="rId552" display="https://www.dst.dk/websites/extranet/db25/db25.html" xr:uid="{939919AC-A4C8-4967-852C-00A0496D0DC3}"/>
    <hyperlink ref="B955" r:id="rId553" display="https://www.dst.dk/websites/extranet/db25/db25.html" xr:uid="{55897C64-F7FD-40E8-8BAF-E951B90A582E}"/>
    <hyperlink ref="B958" r:id="rId554" display="https://www.dst.dk/websites/extranet/db25/db25.html" xr:uid="{A2C2BE81-53BA-4FC5-99FD-369AF6BB97BA}"/>
    <hyperlink ref="B959" r:id="rId555" display="https://www.dst.dk/websites/extranet/db25/db25.html" xr:uid="{763992BB-99F8-4B16-BC5C-CE7231F1B524}"/>
    <hyperlink ref="B960" r:id="rId556" display="https://www.dst.dk/websites/extranet/db25/db25.html" xr:uid="{005A5AA4-438D-441C-AD75-DFE7E55E91AF}"/>
    <hyperlink ref="B963" r:id="rId557" display="https://www.dst.dk/websites/extranet/db25/db25.html" xr:uid="{9E5BA33E-5417-4670-9E1A-3860D98D7446}"/>
    <hyperlink ref="B964" r:id="rId558" display="https://www.dst.dk/websites/extranet/db25/db25.html" xr:uid="{5D63173E-F388-4747-B2C4-6EADEAF4201C}"/>
    <hyperlink ref="B967" r:id="rId559" display="https://www.dst.dk/websites/extranet/db25/db25.html" xr:uid="{DD2AF1C9-97D2-4841-8DFD-399207B09B95}"/>
    <hyperlink ref="B968" r:id="rId560" display="https://www.dst.dk/websites/extranet/db25/db25.html" xr:uid="{229E1147-26B8-4A9D-BDD1-A1C833190A98}"/>
    <hyperlink ref="B971" r:id="rId561" display="https://www.dst.dk/websites/extranet/db25/db25.html" xr:uid="{5433CCB7-BC7C-4334-A471-99607AEA2936}"/>
    <hyperlink ref="B972" r:id="rId562" display="https://www.dst.dk/websites/extranet/db25/db25.html" xr:uid="{E81BA54C-5A5E-4779-B541-24E13E5C6337}"/>
    <hyperlink ref="B973" r:id="rId563" display="https://www.dst.dk/websites/extranet/db25/db25.html" xr:uid="{C49AA01F-1872-4F9A-BC4B-DB0262A6BEEF}"/>
    <hyperlink ref="B974" r:id="rId564" display="https://www.dst.dk/websites/extranet/db25/db25.html" xr:uid="{57A6BFB1-B728-40B6-902D-557785654166}"/>
    <hyperlink ref="B975" r:id="rId565" display="https://www.dst.dk/websites/extranet/db25/db25.html" xr:uid="{5AC3FB20-4969-45BA-AB33-9AD84F6BDB30}"/>
    <hyperlink ref="B976" r:id="rId566" display="https://www.dst.dk/websites/extranet/db25/db25.html" xr:uid="{47E0C75B-555E-42EA-BB85-7AF2D91C3AF7}"/>
    <hyperlink ref="B977" r:id="rId567" display="https://www.dst.dk/websites/extranet/db25/db25.html" xr:uid="{30AFC03B-BB9F-48E1-A654-F223327517C0}"/>
    <hyperlink ref="B978" r:id="rId568" display="https://www.dst.dk/websites/extranet/db25/db25.html" xr:uid="{2756A364-BDC0-4FF8-8FC5-77853E8BCD2D}"/>
    <hyperlink ref="B981" r:id="rId569" display="https://www.dst.dk/websites/extranet/db25/db25.html" xr:uid="{4D6D5B83-DEE1-411D-93FB-2F9381F38B39}"/>
    <hyperlink ref="B982" r:id="rId570" display="https://www.dst.dk/websites/extranet/db25/db25.html" xr:uid="{735813FB-05C4-41B9-9F6B-D98E3E2B9F5C}"/>
    <hyperlink ref="B983" r:id="rId571" display="https://www.dst.dk/websites/extranet/db25/db25.html" xr:uid="{63D09067-4E56-46D6-9202-3A97E8D0DAEF}"/>
    <hyperlink ref="B984" r:id="rId572" display="https://www.dst.dk/websites/extranet/db25/db25.html" xr:uid="{CF9B3652-1231-4232-B2BB-EC2C6F603988}"/>
    <hyperlink ref="B985" r:id="rId573" display="https://www.dst.dk/websites/extranet/db25/db25.html" xr:uid="{4D12BA20-33F8-4E00-848E-88C1B3DBEB2E}"/>
    <hyperlink ref="B986" r:id="rId574" display="https://www.dst.dk/websites/extranet/db25/db25.html" xr:uid="{9DB32B81-0F8E-42EC-81AD-6D39C87D26B6}"/>
    <hyperlink ref="B987" r:id="rId575" display="https://www.dst.dk/websites/extranet/db25/db25.html" xr:uid="{38990B18-13C1-42FB-8CCC-9F17C14ECE26}"/>
    <hyperlink ref="B988" r:id="rId576" display="https://www.dst.dk/websites/extranet/db25/db25.html" xr:uid="{1C8BD88D-A11F-4ED4-9D84-6382DF4DF786}"/>
    <hyperlink ref="B989" r:id="rId577" display="https://www.dst.dk/websites/extranet/db25/db25.html" xr:uid="{B5BEC9C6-F4F0-4836-8E18-D4B7C4653F97}"/>
    <hyperlink ref="B990" r:id="rId578" display="https://www.dst.dk/websites/extranet/db25/db25.html" xr:uid="{1C469D65-F62D-43BA-80DA-1BF0E6B7DD57}"/>
    <hyperlink ref="B991" r:id="rId579" display="https://www.dst.dk/websites/extranet/db25/db25.html" xr:uid="{71F69C34-2E89-4938-AC8F-BF19CF9C98F2}"/>
    <hyperlink ref="B992" r:id="rId580" display="https://www.dst.dk/websites/extranet/db25/db25.html" xr:uid="{ECD921CB-5344-4C73-A74A-AD3C6D9324E7}"/>
    <hyperlink ref="B993" r:id="rId581" display="https://www.dst.dk/websites/extranet/db25/db25.html" xr:uid="{64910B3C-604C-4826-99B4-93B3CBD9BAB3}"/>
    <hyperlink ref="B994" r:id="rId582" display="https://www.dst.dk/websites/extranet/db25/db25.html" xr:uid="{62AC218B-9F7E-4EA6-A4A4-AEA11472EF4B}"/>
    <hyperlink ref="B995" r:id="rId583" display="https://www.dst.dk/websites/extranet/db25/db25.html" xr:uid="{1812B31F-DC90-41F7-992A-22C1FACE7160}"/>
    <hyperlink ref="B996" r:id="rId584" display="https://www.dst.dk/websites/extranet/db25/db25.html" xr:uid="{C6D8759F-5C52-4D1F-AA9A-A52B5A638562}"/>
    <hyperlink ref="B997" r:id="rId585" display="https://www.dst.dk/websites/extranet/db25/db25.html" xr:uid="{6952278D-015E-48D0-B7BA-249C5B5BD8F3}"/>
    <hyperlink ref="B998" r:id="rId586" display="https://www.dst.dk/websites/extranet/db25/db25.html" xr:uid="{875955C4-42A7-4825-9418-3E520F572B8F}"/>
    <hyperlink ref="B999" r:id="rId587" display="https://www.dst.dk/websites/extranet/db25/db25.html" xr:uid="{2A552BC1-2C9E-430C-9B31-2FA2EB3BA66C}"/>
    <hyperlink ref="B1000" r:id="rId588" display="https://www.dst.dk/websites/extranet/db25/db25.html" xr:uid="{B23A80B1-BDE9-4CF6-ABB5-5A257D18C0D8}"/>
    <hyperlink ref="B1001" r:id="rId589" display="https://www.dst.dk/websites/extranet/db25/db25.html" xr:uid="{357A072C-7347-4DB2-B417-BF14DD93ACDA}"/>
    <hyperlink ref="B1004" r:id="rId590" display="https://www.dst.dk/websites/extranet/db25/db25.html" xr:uid="{DF71A42F-F251-41C9-A7B5-A9E495869A3C}"/>
    <hyperlink ref="B1005" r:id="rId591" display="https://www.dst.dk/websites/extranet/db25/db25.html" xr:uid="{0809BA5B-AFFC-4402-B62B-59EAC3BB2F93}"/>
    <hyperlink ref="B1008" r:id="rId592" display="https://www.dst.dk/websites/extranet/db25/db25.html" xr:uid="{176909CB-FA8F-4B31-A934-6507602C493C}"/>
    <hyperlink ref="B1011" r:id="rId593" display="https://www.dst.dk/websites/extranet/db25/db25.html" xr:uid="{76473ACD-E454-41B2-9433-BD2E2A189A40}"/>
    <hyperlink ref="B1014" r:id="rId594" display="https://www.dst.dk/websites/extranet/db25/db25.html" xr:uid="{73AEB838-9B26-437C-BC5D-493FC1E038C0}"/>
    <hyperlink ref="B1015" r:id="rId595" display="https://www.dst.dk/websites/extranet/db25/db25.html" xr:uid="{2FE8B90E-54B3-46D8-B455-7FE051DA9C68}"/>
    <hyperlink ref="B1018" r:id="rId596" display="https://www.dst.dk/websites/extranet/db25/db25.html" xr:uid="{8739E5F3-D16F-450D-B19B-A190BEC416B4}"/>
    <hyperlink ref="B1021" r:id="rId597" display="https://www.dst.dk/websites/extranet/db25/db25.html" xr:uid="{816C9EA1-B183-4EF8-882A-4B0290D93B4D}"/>
    <hyperlink ref="B1022" r:id="rId598" display="https://www.dst.dk/websites/extranet/db25/db25.html" xr:uid="{5E72F92C-3A5F-4AB2-AD54-92D478DF70C0}"/>
    <hyperlink ref="B1025" r:id="rId599" display="https://www.dst.dk/websites/extranet/db25/db25.html" xr:uid="{80D29FB7-6B7F-4BE8-BFC8-6AB336263482}"/>
    <hyperlink ref="B1028" r:id="rId600" display="https://www.dst.dk/websites/extranet/db25/db25.html" xr:uid="{4CDE7E5D-7AB6-4F63-8746-13F38FF95E95}"/>
    <hyperlink ref="B1029" r:id="rId601" display="https://www.dst.dk/websites/extranet/db25/db25.html" xr:uid="{18F3AFEA-65E9-4331-9A9C-F3EF6F41D368}"/>
    <hyperlink ref="B1032" r:id="rId602" display="https://www.dst.dk/websites/extranet/db25/db25.html" xr:uid="{8E46072A-D130-474E-95AF-01AF911FC095}"/>
    <hyperlink ref="B1035" r:id="rId603" display="https://www.dst.dk/websites/extranet/db25/db25.html" xr:uid="{3491C84A-9BB1-4135-A9A9-4F5E1FFB06A9}"/>
    <hyperlink ref="B1036" r:id="rId604" display="https://www.dst.dk/websites/extranet/db25/db25.html" xr:uid="{A8100238-A496-4771-9F8B-177C8D854A28}"/>
    <hyperlink ref="B1037" r:id="rId605" display="https://www.dst.dk/websites/extranet/db25/db25.html" xr:uid="{5B036111-8725-46C5-8DEE-98919E8BA6B2}"/>
    <hyperlink ref="B1038" r:id="rId606" display="https://www.dst.dk/websites/extranet/db25/db25.html" xr:uid="{23BBE77F-E8F2-4C8E-ABD6-A3EB6EAD9D9A}"/>
    <hyperlink ref="B1039" r:id="rId607" display="https://www.dst.dk/websites/extranet/db25/db25.html" xr:uid="{305F6B98-1DFE-4FC8-96DD-DF69374E52B7}"/>
    <hyperlink ref="B1040" r:id="rId608" display="https://www.dst.dk/websites/extranet/db25/db25.html" xr:uid="{BD802E57-F2EF-4AEA-9AE6-49799AA42BF6}"/>
    <hyperlink ref="B1045" r:id="rId609" display="https://www.dst.dk/websites/extranet/db25/db25.html" xr:uid="{F54C0B6A-E8FE-4774-9D40-0DEC7B9C4011}"/>
    <hyperlink ref="B1046" r:id="rId610" display="https://www.dst.dk/websites/extranet/db25/db25.html" xr:uid="{6862447A-7951-418A-9FBD-2B9360192AAF}"/>
    <hyperlink ref="B1049" r:id="rId611" display="https://www.dst.dk/websites/extranet/db25/db25.html" xr:uid="{42188AB6-A360-47B5-B67B-BBF5D54CD484}"/>
    <hyperlink ref="B1052" r:id="rId612" display="https://www.dst.dk/websites/extranet/db25/db25.html" xr:uid="{5F3E2285-8763-4024-8F7F-2F9C33DF61AB}"/>
    <hyperlink ref="B1053" r:id="rId613" display="https://www.dst.dk/websites/extranet/db25/db25.html" xr:uid="{7C75120B-CA9A-4443-8E99-2C22D1AF9310}"/>
    <hyperlink ref="B1054" r:id="rId614" display="https://www.dst.dk/websites/extranet/db25/db25.html" xr:uid="{B8CDE52C-DC80-4787-BA88-B2AA770A8FDA}"/>
    <hyperlink ref="B1055" r:id="rId615" display="https://www.dst.dk/websites/extranet/db25/db25.html" xr:uid="{630A050C-9FC8-4F29-9A6C-430600333C6A}"/>
    <hyperlink ref="B1056" r:id="rId616" display="https://www.dst.dk/websites/extranet/db25/db25.html" xr:uid="{C8EFEBD8-872A-4226-9DDE-210938F07BEF}"/>
    <hyperlink ref="B1057" r:id="rId617" display="https://www.dst.dk/websites/extranet/db25/db25.html" xr:uid="{A99446B1-7606-4B56-8C94-E0AF12770399}"/>
    <hyperlink ref="B1058" r:id="rId618" display="https://www.dst.dk/websites/extranet/db25/db25.html" xr:uid="{508966DD-8ABC-4142-AF15-186F1B8F38C9}"/>
    <hyperlink ref="B1059" r:id="rId619" display="https://www.dst.dk/websites/extranet/db25/db25.html" xr:uid="{0A38EED2-576D-44DF-9A45-F36C3C91E26C}"/>
    <hyperlink ref="B1060" r:id="rId620" display="https://www.dst.dk/websites/extranet/db25/db25.html" xr:uid="{71DDB9DB-EAEC-4B59-8479-A72FC53744C5}"/>
    <hyperlink ref="B1061" r:id="rId621" display="https://www.dst.dk/websites/extranet/db25/db25.html" xr:uid="{A7E36E98-BEC1-4F8C-88B0-AAA27B70F1EA}"/>
    <hyperlink ref="B1062" r:id="rId622" display="https://www.dst.dk/websites/extranet/db25/db25.html" xr:uid="{DCCEF4E4-3E12-47ED-A160-503575756CE9}"/>
    <hyperlink ref="B1063" r:id="rId623" display="https://www.dst.dk/websites/extranet/db25/db25.html" xr:uid="{7349626B-B495-4749-A97E-9E67E35939E3}"/>
    <hyperlink ref="B1064" r:id="rId624" display="https://www.dst.dk/websites/extranet/db25/db25.html" xr:uid="{23D1A922-7BD9-488A-998B-46BEF6E99BC4}"/>
    <hyperlink ref="B1065" r:id="rId625" display="https://www.dst.dk/websites/extranet/db25/db25.html" xr:uid="{F7583C89-DB95-4622-9F1E-1332EA408C57}"/>
    <hyperlink ref="B1066" r:id="rId626" display="https://www.dst.dk/websites/extranet/db25/db25.html" xr:uid="{BA40E53B-BBE1-466C-A925-C0FD6F75472E}"/>
    <hyperlink ref="B1067" r:id="rId627" display="https://www.dst.dk/websites/extranet/db25/db25.html" xr:uid="{18A74A2C-547A-4323-ADA6-E5BC1AF9BF02}"/>
    <hyperlink ref="B1068" r:id="rId628" display="https://www.dst.dk/websites/extranet/db25/db25.html" xr:uid="{96A1EF83-E046-4701-A612-2B0F1B651A45}"/>
    <hyperlink ref="B1069" r:id="rId629" display="https://www.dst.dk/websites/extranet/db25/db25.html" xr:uid="{E7B1EA88-4833-49CF-BBCE-87372C1565A5}"/>
    <hyperlink ref="B1070" r:id="rId630" display="https://www.dst.dk/websites/extranet/db25/db25.html" xr:uid="{5465593C-32F9-4A9B-9FBC-7430391E3C7E}"/>
    <hyperlink ref="B1071" r:id="rId631" display="https://www.dst.dk/websites/extranet/db25/db25.html" xr:uid="{43539F99-430D-46B4-B987-69535808683F}"/>
    <hyperlink ref="B1072" r:id="rId632" display="https://www.dst.dk/websites/extranet/db25/db25.html" xr:uid="{86825660-16EC-46B4-A7BA-5B3184DE6377}"/>
    <hyperlink ref="B1073" r:id="rId633" display="https://www.dst.dk/websites/extranet/db25/db25.html" xr:uid="{09E788F5-4C50-4DC0-AF54-7B5849A1079A}"/>
    <hyperlink ref="B1074" r:id="rId634" display="https://www.dst.dk/websites/extranet/db25/db25.html" xr:uid="{E4A1D76A-8799-4F06-9CE5-4C9B3788BE3E}"/>
    <hyperlink ref="B1075" r:id="rId635" display="https://www.dst.dk/websites/extranet/db25/db25.html" xr:uid="{4D77D5D2-0B86-46AF-A4B2-259F9E16901E}"/>
    <hyperlink ref="B1076" r:id="rId636" display="https://www.dst.dk/websites/extranet/db25/db25.html" xr:uid="{15051695-EC63-4476-9E86-2D5A82E3B85D}"/>
    <hyperlink ref="B1077" r:id="rId637" display="https://www.dst.dk/websites/extranet/db25/db25.html" xr:uid="{224B0673-835A-4B39-B799-7A6E9A68C58A}"/>
    <hyperlink ref="B1078" r:id="rId638" display="https://www.dst.dk/websites/extranet/db25/db25.html" xr:uid="{9F172C8A-CA0B-44FB-A64B-C64EAA74A485}"/>
    <hyperlink ref="B1079" r:id="rId639" display="https://www.dst.dk/websites/extranet/db25/db25.html" xr:uid="{AB8CC6E3-FAE3-4651-A45E-EACC187F82E8}"/>
    <hyperlink ref="B1080" r:id="rId640" display="https://www.dst.dk/websites/extranet/db25/db25.html" xr:uid="{4C82B604-1F81-456C-8E93-7A0ABDC735FF}"/>
    <hyperlink ref="B1081" r:id="rId641" display="https://www.dst.dk/websites/extranet/db25/db25.html" xr:uid="{EDAD936B-0BE6-4FAC-97CF-6E8DF5C529FF}"/>
    <hyperlink ref="B1082" r:id="rId642" display="https://www.dst.dk/websites/extranet/db25/db25.html" xr:uid="{3C1454D6-51AC-474E-9EA6-7BE57D431B08}"/>
    <hyperlink ref="B1083" r:id="rId643" display="https://www.dst.dk/websites/extranet/db25/db25.html" xr:uid="{7B9800BC-67A8-45FE-8EDB-4C470184846D}"/>
    <hyperlink ref="B1086" r:id="rId644" display="https://www.dst.dk/websites/extranet/db25/db25.html" xr:uid="{DEAFFE48-36FA-4644-A1C7-265197D94A12}"/>
    <hyperlink ref="B1087" r:id="rId645" display="https://www.dst.dk/websites/extranet/db25/db25.html" xr:uid="{F60E84AF-157D-476C-965F-3F8BAC722064}"/>
    <hyperlink ref="B1088" r:id="rId646" display="https://www.dst.dk/websites/extranet/db25/db25.html" xr:uid="{7B8A9290-CC61-489B-A51C-DA5CC417A013}"/>
    <hyperlink ref="B1089" r:id="rId647" display="https://www.dst.dk/websites/extranet/db25/db25.html" xr:uid="{404A956D-4098-435C-BC50-53655DCC9B3F}"/>
    <hyperlink ref="B1090" r:id="rId648" display="https://www.dst.dk/websites/extranet/db25/db25.html" xr:uid="{F6FB7D2E-3AC6-41F4-BF59-522245CB3560}"/>
    <hyperlink ref="B1091" r:id="rId649" display="https://www.dst.dk/websites/extranet/db25/db25.html" xr:uid="{F9DE62B4-2679-4257-BB6A-405B78A45419}"/>
    <hyperlink ref="B1094" r:id="rId650" display="https://www.dst.dk/websites/extranet/db25/db25.html" xr:uid="{61350CA2-BA53-4317-B7AF-BA6F10288890}"/>
    <hyperlink ref="B1097" r:id="rId651" display="https://www.dst.dk/websites/extranet/db25/db25.html" xr:uid="{74A062CE-B638-41FF-880C-3800C46153E7}"/>
    <hyperlink ref="B1100" r:id="rId652" display="https://www.dst.dk/websites/extranet/db25/db25.html" xr:uid="{1016CB82-8B9E-489B-A68A-6C3355D5D5CC}"/>
    <hyperlink ref="B1103" r:id="rId653" display="https://www.dst.dk/websites/extranet/db25/db25.html" xr:uid="{407DC9D7-9D14-420A-AE22-583578BA8FE5}"/>
    <hyperlink ref="B1106" r:id="rId654" display="https://www.dst.dk/websites/extranet/db25/db25.html" xr:uid="{86216440-255C-459D-BFB5-33C446A8B7E6}"/>
    <hyperlink ref="B1107" r:id="rId655" display="https://www.dst.dk/websites/extranet/db25/db25.html" xr:uid="{5D57C9C4-8543-4120-B04F-EDB3D8330721}"/>
    <hyperlink ref="B1110" r:id="rId656" display="https://www.dst.dk/websites/extranet/db25/db25.html" xr:uid="{A011DB43-3678-4415-B1F6-E113DC44801F}"/>
    <hyperlink ref="B1113" r:id="rId657" display="https://www.dst.dk/websites/extranet/db25/db25.html" xr:uid="{CFF16068-4E87-457A-A004-C38823F04AF8}"/>
    <hyperlink ref="B1116" r:id="rId658" display="https://www.dst.dk/websites/extranet/db25/db25.html" xr:uid="{8D529070-C730-48DD-A10A-C4BB22C6D4B6}"/>
    <hyperlink ref="B1119" r:id="rId659" display="https://www.dst.dk/websites/extranet/db25/db25.html" xr:uid="{807DFED7-E89A-4529-91FE-4004F1B7E225}"/>
    <hyperlink ref="B1122" r:id="rId660" display="https://www.dst.dk/websites/extranet/db25/db25.html" xr:uid="{2626CB4D-C006-4A2A-A33C-D0719DB83B2B}"/>
    <hyperlink ref="B1125" r:id="rId661" display="https://www.dst.dk/websites/extranet/db25/db25.html" xr:uid="{CBF076E7-C858-4F6E-83D1-C633A9793009}"/>
    <hyperlink ref="B1126" r:id="rId662" display="https://www.dst.dk/websites/extranet/db25/db25.html" xr:uid="{377275A0-ED32-4157-9C0E-62DFEE6572E2}"/>
    <hyperlink ref="B1129" r:id="rId663" display="https://www.dst.dk/websites/extranet/db25/db25.html" xr:uid="{D13C1E75-69A4-4EB4-B0E7-86C40FACBA8C}"/>
    <hyperlink ref="B1130" r:id="rId664" display="https://www.dst.dk/websites/extranet/db25/db25.html" xr:uid="{20808E66-05C6-4106-B90D-A8A231BD89BB}"/>
    <hyperlink ref="B1131" r:id="rId665" display="https://www.dst.dk/websites/extranet/db25/db25.html" xr:uid="{CBEDC53B-8021-4740-A8FA-4698FCACF687}"/>
    <hyperlink ref="B1132" r:id="rId666" display="https://www.dst.dk/websites/extranet/db25/db25.html" xr:uid="{2546F6F6-47C1-4009-B955-18A8892D3B78}"/>
    <hyperlink ref="B1135" r:id="rId667" display="https://www.dst.dk/websites/extranet/db25/db25.html" xr:uid="{D9784784-924E-4B72-982C-93125A54C79D}"/>
    <hyperlink ref="B1136" r:id="rId668" display="https://www.dst.dk/websites/extranet/db25/db25.html" xr:uid="{43F519FC-4EBF-4C1E-A0A8-2D1761086C69}"/>
    <hyperlink ref="B1139" r:id="rId669" display="https://www.dst.dk/websites/extranet/db25/db25.html" xr:uid="{D1C4E26B-B699-43BB-8DF8-962212241DC5}"/>
    <hyperlink ref="B1142" r:id="rId670" display="https://www.dst.dk/websites/extranet/db25/db25.html" xr:uid="{568EEA45-8A92-4CFD-8675-784F0EA474FA}"/>
    <hyperlink ref="B1143" r:id="rId671" display="https://www.dst.dk/websites/extranet/db25/db25.html" xr:uid="{7D34F1B2-51EB-405A-9839-9D14EEEF9983}"/>
    <hyperlink ref="B1146" r:id="rId672" display="https://www.dst.dk/websites/extranet/db25/db25.html" xr:uid="{CD2B53BE-C999-461B-9907-5CBB0DD223C0}"/>
    <hyperlink ref="B1149" r:id="rId673" display="https://www.dst.dk/websites/extranet/db25/db25.html" xr:uid="{F979F17F-7047-45A8-AC9D-C23F97FABA92}"/>
    <hyperlink ref="B1152" r:id="rId674" display="https://www.dst.dk/websites/extranet/db25/db25.html" xr:uid="{CBD9465C-1DDA-4B1D-9FA6-0F7334787AF2}"/>
    <hyperlink ref="B1155" r:id="rId675" display="https://www.dst.dk/websites/extranet/db25/db25.html" xr:uid="{AFC0FE8C-2BD9-4A29-A560-A2325B6DE348}"/>
    <hyperlink ref="B1156" r:id="rId676" display="https://www.dst.dk/websites/extranet/db25/db25.html" xr:uid="{59A8C8F9-DCB9-4A83-A1D3-895D9B87B64B}"/>
    <hyperlink ref="B1159" r:id="rId677" display="https://www.dst.dk/websites/extranet/db25/db25.html" xr:uid="{378288AF-1767-4877-89B6-299095703D46}"/>
    <hyperlink ref="B1162" r:id="rId678" display="https://www.dst.dk/websites/extranet/db25/db25.html" xr:uid="{8D0BDCE3-7BA9-4BE9-AACF-40115A34BD5B}"/>
    <hyperlink ref="B1163" r:id="rId679" display="https://www.dst.dk/websites/extranet/db25/db25.html" xr:uid="{F6E1BC46-E804-4699-9793-6D4568EB7E2E}"/>
    <hyperlink ref="B1164" r:id="rId680" display="https://www.dst.dk/websites/extranet/db25/db25.html" xr:uid="{C52331BD-AEE1-4F12-B9C5-0E42A7DBFA08}"/>
    <hyperlink ref="B1167" r:id="rId681" display="https://www.dst.dk/websites/extranet/db25/db25.html" xr:uid="{EACF2D98-FDDC-4A20-AAC4-7D3344410460}"/>
    <hyperlink ref="B1168" r:id="rId682" display="https://www.dst.dk/websites/extranet/db25/db25.html" xr:uid="{417A7A69-ABF2-445C-B81B-F8FDD3C155CD}"/>
    <hyperlink ref="B1169" r:id="rId683" display="https://www.dst.dk/websites/extranet/db25/db25.html" xr:uid="{E4D8B4A5-D8D1-4B23-8587-B230B3B5A144}"/>
    <hyperlink ref="B1170" r:id="rId684" display="https://www.dst.dk/websites/extranet/db25/db25.html" xr:uid="{D202BD8C-2987-4FFD-80E0-D67AD6618B97}"/>
    <hyperlink ref="B1171" r:id="rId685" display="https://www.dst.dk/websites/extranet/db25/db25.html" xr:uid="{C4F47232-32E4-49CB-BD48-96C5D4A081B5}"/>
    <hyperlink ref="B1172" r:id="rId686" display="https://www.dst.dk/websites/extranet/db25/db25.html" xr:uid="{FEE7C62F-3B16-461B-B7A5-C2FE488A01F4}"/>
    <hyperlink ref="B1173" r:id="rId687" display="https://www.dst.dk/websites/extranet/db25/db25.html" xr:uid="{4FF4874D-BD7C-4905-9217-F7A6DA41BB6A}"/>
    <hyperlink ref="B1174" r:id="rId688" display="https://www.dst.dk/websites/extranet/db25/db25.html" xr:uid="{8CE30452-30F1-4D62-BAC4-1854E3CA821D}"/>
    <hyperlink ref="B1177" r:id="rId689" display="https://www.dst.dk/websites/extranet/db25/db25.html" xr:uid="{C44E1805-14DC-447D-849E-28FA92CF7F54}"/>
    <hyperlink ref="B1178" r:id="rId690" display="https://www.dst.dk/websites/extranet/db25/db25.html" xr:uid="{23D4DE18-9B77-437C-8550-32ACBC4DE40D}"/>
    <hyperlink ref="B1181" r:id="rId691" display="https://www.dst.dk/websites/extranet/db25/db25.html" xr:uid="{BAF98EA7-947F-495D-8639-DAF0DC735E66}"/>
    <hyperlink ref="B1184" r:id="rId692" display="https://www.dst.dk/websites/extranet/db25/db25.html" xr:uid="{6B33AB13-8BA0-4916-B283-CD4D7076D431}"/>
    <hyperlink ref="B1185" r:id="rId693" display="https://www.dst.dk/websites/extranet/db25/db25.html" xr:uid="{CA1913FA-8246-408B-921F-F175B1753D06}"/>
    <hyperlink ref="B1188" r:id="rId694" display="https://www.dst.dk/websites/extranet/db25/db25.html" xr:uid="{ED6ECE14-2646-4409-B097-0FC890E006F4}"/>
    <hyperlink ref="B1189" r:id="rId695" display="https://www.dst.dk/websites/extranet/db25/db25.html" xr:uid="{699B88AE-4F4E-4DCC-AC4B-4874543DDB89}"/>
    <hyperlink ref="B1192" r:id="rId696" display="https://www.dst.dk/websites/extranet/db25/db25.html" xr:uid="{76231B05-9955-4DC9-A16D-27B0EFA45C92}"/>
    <hyperlink ref="B1195" r:id="rId697" display="https://www.dst.dk/websites/extranet/db25/db25.html" xr:uid="{2B7D4567-A286-4E0F-9B80-E5B2F1D4728F}"/>
    <hyperlink ref="B1196" r:id="rId698" display="https://www.dst.dk/websites/extranet/db25/db25.html" xr:uid="{B50E0EFA-2B22-49E1-93C9-B087F2111EE3}"/>
    <hyperlink ref="B1197" r:id="rId699" display="https://www.dst.dk/websites/extranet/db25/db25.html" xr:uid="{4DDAC0C4-740B-4CAF-B473-B813DA63F6D8}"/>
    <hyperlink ref="B1198" r:id="rId700" display="https://www.dst.dk/websites/extranet/db25/db25.html" xr:uid="{98E55D0E-8981-480C-8142-884C131D3F75}"/>
    <hyperlink ref="B1199" r:id="rId701" display="https://www.dst.dk/websites/extranet/db25/db25.html" xr:uid="{01C46DDF-427B-4B18-A442-1059780D7947}"/>
    <hyperlink ref="B1202" r:id="rId702" display="https://www.dst.dk/websites/extranet/db25/db25.html" xr:uid="{9E020471-410A-48BD-A4D8-286CD35D82B0}"/>
    <hyperlink ref="B1203" r:id="rId703" display="https://www.dst.dk/websites/extranet/db25/db25.html" xr:uid="{76705246-FAFD-40E9-BB4C-FFAC41FA0A60}"/>
    <hyperlink ref="B1206" r:id="rId704" display="https://www.dst.dk/websites/extranet/db25/db25.html" xr:uid="{56A8CF0B-2937-4F6B-841C-CD9D4A189D33}"/>
    <hyperlink ref="B1209" r:id="rId705" display="https://www.dst.dk/websites/extranet/db25/db25.html" xr:uid="{7B90163D-79A5-4257-AD70-47AC934B7F49}"/>
    <hyperlink ref="B1210" r:id="rId706" display="https://www.dst.dk/websites/extranet/db25/db25.html" xr:uid="{F4ECA86F-FFB1-47EF-B9CA-0399951DAC62}"/>
    <hyperlink ref="B1211" r:id="rId707" display="https://www.dst.dk/websites/extranet/db25/db25.html" xr:uid="{6C8F7D8F-D57D-47B9-9D11-66A4A0142192}"/>
    <hyperlink ref="B1212" r:id="rId708" display="https://www.dst.dk/websites/extranet/db25/db25.html" xr:uid="{C792F7FB-0703-49F5-9CA4-3033BC81D047}"/>
    <hyperlink ref="B1213" r:id="rId709" display="https://www.dst.dk/websites/extranet/db25/db25.html" xr:uid="{A25B24F3-2319-47BE-A7BC-9412CCDAE56B}"/>
    <hyperlink ref="B1214" r:id="rId710" display="https://www.dst.dk/websites/extranet/db25/db25.html" xr:uid="{137AF3E1-69F0-4E22-B4DA-587EE681D697}"/>
    <hyperlink ref="B1215" r:id="rId711" display="https://www.dst.dk/websites/extranet/db25/db25.html" xr:uid="{581AF3CB-DD33-4309-B01C-09FCA50563E8}"/>
    <hyperlink ref="B1216" r:id="rId712" display="https://www.dst.dk/websites/extranet/db25/db25.html" xr:uid="{BB4CF6E5-3B28-46AC-9FA1-69939FDEDE48}"/>
    <hyperlink ref="B1217" r:id="rId713" display="https://www.dst.dk/websites/extranet/db25/db25.html" xr:uid="{4A44560B-8812-475A-9BBA-C98EAE3EFE1B}"/>
    <hyperlink ref="B1218" r:id="rId714" display="https://www.dst.dk/websites/extranet/db25/db25.html" xr:uid="{8FE4C0A8-DF89-4198-ABA6-B6BC4C12CF12}"/>
    <hyperlink ref="B1219" r:id="rId715" display="https://www.dst.dk/websites/extranet/db25/db25.html" xr:uid="{E038F085-7682-4B25-A2DC-52D25613C1AB}"/>
    <hyperlink ref="B1220" r:id="rId716" display="https://www.dst.dk/websites/extranet/db25/db25.html" xr:uid="{C7F339C8-CBC6-4B93-9179-1A8C50C87D9D}"/>
    <hyperlink ref="B1221" r:id="rId717" display="https://www.dst.dk/websites/extranet/db25/db25.html" xr:uid="{28BD3E26-2DDC-4894-91FB-0E7734F104D1}"/>
    <hyperlink ref="B1222" r:id="rId718" display="https://www.dst.dk/websites/extranet/db25/db25.html" xr:uid="{AD9BDA21-F2C9-4838-A2E7-0D199497927E}"/>
    <hyperlink ref="B1225" r:id="rId719" display="https://www.dst.dk/websites/extranet/db25/db25.html" xr:uid="{BFE65156-BB77-4E31-A764-032D02C1E682}"/>
    <hyperlink ref="B1226" r:id="rId720" display="https://www.dst.dk/websites/extranet/db25/db25.html" xr:uid="{B41DA066-245E-4D73-A1AC-6047143A1A4A}"/>
    <hyperlink ref="B1227" r:id="rId721" display="https://www.dst.dk/websites/extranet/db25/db25.html" xr:uid="{8C25060A-9BBE-469B-896A-2BFE3B0FC56F}"/>
    <hyperlink ref="B1228" r:id="rId722" display="https://www.dst.dk/websites/extranet/db25/db25.html" xr:uid="{222C9750-7BD6-4A2C-9BCB-A5FBA5C6CCFE}"/>
    <hyperlink ref="B1229" r:id="rId723" display="https://www.dst.dk/websites/extranet/db25/db25.html" xr:uid="{79A407C8-3179-4BF0-A9EE-9A2D4017DB33}"/>
    <hyperlink ref="B1230" r:id="rId724" display="https://www.dst.dk/websites/extranet/db25/db25.html" xr:uid="{3367DAE2-5888-4885-A7D9-5F0B833F005F}"/>
    <hyperlink ref="B1231" r:id="rId725" display="https://www.dst.dk/websites/extranet/db25/db25.html" xr:uid="{E246716A-65A1-448B-A197-3B6F986A604A}"/>
    <hyperlink ref="B1232" r:id="rId726" display="https://www.dst.dk/websites/extranet/db25/db25.html" xr:uid="{DCB05C91-A0FD-4366-9A46-F9A6981A144B}"/>
    <hyperlink ref="B1235" r:id="rId727" display="https://www.dst.dk/websites/extranet/db25/db25.html" xr:uid="{DBED0B30-A174-4E77-87FA-CEF54175BB2E}"/>
    <hyperlink ref="B1236" r:id="rId728" display="https://www.dst.dk/websites/extranet/db25/db25.html" xr:uid="{070A75B5-4356-474F-A76E-9513550EFC34}"/>
    <hyperlink ref="B1239" r:id="rId729" display="https://www.dst.dk/websites/extranet/db25/db25.html" xr:uid="{3FA11DB2-7CB4-4188-9110-A2614700847A}"/>
    <hyperlink ref="B1240" r:id="rId730" display="https://www.dst.dk/websites/extranet/db25/db25.html" xr:uid="{6753419D-72E2-40F7-90F3-F57F013F4CEB}"/>
    <hyperlink ref="B1243" r:id="rId731" display="https://www.dst.dk/websites/extranet/db25/db25.html" xr:uid="{F35FF2D5-31A5-402E-AC9E-A4B98264E814}"/>
    <hyperlink ref="B1244" r:id="rId732" display="https://www.dst.dk/websites/extranet/db25/db25.html" xr:uid="{17BA2BAE-F97C-4339-80A2-71DF6A286606}"/>
    <hyperlink ref="B1247" r:id="rId733" display="https://www.dst.dk/websites/extranet/db25/db25.html" xr:uid="{AC66620A-70F8-43F9-ADFB-36C37C011887}"/>
    <hyperlink ref="B1248" r:id="rId734" display="https://www.dst.dk/websites/extranet/db25/db25.html" xr:uid="{BCF73678-F369-42CE-AE50-A1D4B61BEB66}"/>
    <hyperlink ref="B1249" r:id="rId735" display="https://www.dst.dk/websites/extranet/db25/db25.html" xr:uid="{FF9A8588-F83B-4E04-9B95-8D021C075FCE}"/>
    <hyperlink ref="B1250" r:id="rId736" display="https://www.dst.dk/websites/extranet/db25/db25.html" xr:uid="{0D33CCF0-0107-4D31-9058-588576BA5F8F}"/>
    <hyperlink ref="B1251" r:id="rId737" display="https://www.dst.dk/websites/extranet/db25/db25.html" xr:uid="{30882B9F-7358-4224-9E52-61834E3A9E0A}"/>
    <hyperlink ref="B1252" r:id="rId738" display="https://www.dst.dk/websites/extranet/db25/db25.html" xr:uid="{84498772-F040-49C5-88B3-4DD0D25EA0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5</vt:i4>
      </vt:variant>
    </vt:vector>
  </HeadingPairs>
  <TitlesOfParts>
    <vt:vector size="5" baseType="lpstr">
      <vt:lpstr>Forside</vt:lpstr>
      <vt:lpstr>DVA_Spørgsmål</vt:lpstr>
      <vt:lpstr>DVA</vt:lpstr>
      <vt:lpstr>Matrix</vt:lpstr>
      <vt:lpstr>Branchekoder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Mads Maarslet Richter</dc:creator>
  <cp:lastModifiedBy>Niklas Miranda</cp:lastModifiedBy>
  <dcterms:created xsi:type="dcterms:W3CDTF">2025-03-10T10:21:58Z</dcterms:created>
  <dcterms:modified xsi:type="dcterms:W3CDTF">2025-10-09T08:04:34Z</dcterms:modified>
</cp:coreProperties>
</file>